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mespinoza\Downloads\"/>
    </mc:Choice>
  </mc:AlternateContent>
  <bookViews>
    <workbookView showSheetTabs="0" xWindow="0" yWindow="0" windowWidth="20490" windowHeight="10740" firstSheet="1" activeTab="1"/>
  </bookViews>
  <sheets>
    <sheet name="SQLFACTURAS" sheetId="1" state="veryHidden" r:id="rId1"/>
    <sheet name="FACTURAS" sheetId="2" r:id="rId2"/>
    <sheet name="TD_GRAFICO01" sheetId="3" state="veryHidden" r:id="rId3"/>
  </sheets>
  <definedNames>
    <definedName name="_192.168.1.8_POSEIDONSQL_APPFVT_01_SQLFacturasRendidas" localSheetId="0" hidden="1">SQLFACTURAS!$A$1:$F$1500</definedName>
    <definedName name="SegmentaciónDeDatos_AÑO">#N/A</definedName>
    <definedName name="SegmentaciónDeDatos_MES">#N/A</definedName>
  </definedNames>
  <calcPr calcId="152511"/>
  <pivotCaches>
    <pivotCache cacheId="6" r:id="rId4"/>
  </pivotCaches>
  <extLst>
    <ext xmlns:x14="http://schemas.microsoft.com/office/spreadsheetml/2009/9/main" uri="{BBE1A952-AA13-448e-AADC-164F8A28A991}">
      <x14:slicerCaches>
        <x14:slicerCache r:id="rId5"/>
        <x14:slicerCache r:id="rId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1" l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J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</calcChain>
</file>

<file path=xl/connections.xml><?xml version="1.0" encoding="utf-8"?>
<connections xmlns="http://schemas.openxmlformats.org/spreadsheetml/2006/main">
  <connection id="1" keepAlive="1" name="192.168.1.8_POSEIDONSQL APPFVT_01 SQLRendidasPorRendir" type="5" refreshedVersion="5" savePassword="1" background="1" saveData="1">
    <dbPr connection="Provider=SQLOLEDB.1;Password=S1nc0ntr4s3n4db4.2017;Persist Security Info=True;User ID=sa;Initial Catalog=APPFVT_01;Data Source=192.168.1.8\POSEIDONSQL;Use Procedure for Prepare=1;Auto Translate=True;Packet Size=4096;Workstation ID=CL-MV053;Use Encryption for Data=False;Tag with column collation when possible=False" command="&quot;APPFVT_01&quot;.&quot;dbo&quot;.&quot;SQLRendidasPorRendir&quot;" commandType="3"/>
  </connection>
</connections>
</file>

<file path=xl/sharedStrings.xml><?xml version="1.0" encoding="utf-8"?>
<sst xmlns="http://schemas.openxmlformats.org/spreadsheetml/2006/main" count="4523" uniqueCount="83">
  <si>
    <t>usu_codigo</t>
  </si>
  <si>
    <t>inf_tipoInforme</t>
  </si>
  <si>
    <t>car_nombre</t>
  </si>
  <si>
    <t>epc_nombre</t>
  </si>
  <si>
    <t>f_facturacion</t>
  </si>
  <si>
    <t>fac_factura</t>
  </si>
  <si>
    <t>AÑO</t>
  </si>
  <si>
    <t>MES</t>
  </si>
  <si>
    <t>Total general</t>
  </si>
  <si>
    <t>CANT RENDIDAS</t>
  </si>
  <si>
    <t>FACTURAS RENDIDAS Y POR RENDIR</t>
  </si>
  <si>
    <t>HOMY</t>
  </si>
  <si>
    <t>SODIMAC S.A</t>
  </si>
  <si>
    <t>TOTAL FACTURAS</t>
  </si>
  <si>
    <t xml:space="preserve">CANT RENDIDAS </t>
  </si>
  <si>
    <t>RENDIDA</t>
  </si>
  <si>
    <t>2018-03-01</t>
  </si>
  <si>
    <t>2018-03-21</t>
  </si>
  <si>
    <t>2018-03-26</t>
  </si>
  <si>
    <t>2018-03-28</t>
  </si>
  <si>
    <t>2018-04-02</t>
  </si>
  <si>
    <t>2018-04-03</t>
  </si>
  <si>
    <t>2018-04-04</t>
  </si>
  <si>
    <t>SIN RENDIR</t>
  </si>
  <si>
    <t>2018-04-05</t>
  </si>
  <si>
    <t>2018-04-06</t>
  </si>
  <si>
    <t>2018-04-09</t>
  </si>
  <si>
    <t>2018-04-10</t>
  </si>
  <si>
    <t>2018-04-11</t>
  </si>
  <si>
    <t>2018-05-02</t>
  </si>
  <si>
    <t>2018-05-07</t>
  </si>
  <si>
    <t>2018-05-08</t>
  </si>
  <si>
    <t>2018-05-09</t>
  </si>
  <si>
    <t>2018-05-14</t>
  </si>
  <si>
    <t>2018-05-15</t>
  </si>
  <si>
    <t>2018-05-16</t>
  </si>
  <si>
    <t>2018-03-02</t>
  </si>
  <si>
    <t>2018-03-07</t>
  </si>
  <si>
    <t>2018-03-08</t>
  </si>
  <si>
    <t>2018-03-09</t>
  </si>
  <si>
    <t>2018-03-13</t>
  </si>
  <si>
    <t>2018-03-15</t>
  </si>
  <si>
    <t>2018-03-22</t>
  </si>
  <si>
    <t>2018-03-23</t>
  </si>
  <si>
    <t>2018-03-27</t>
  </si>
  <si>
    <t>2018-03-29</t>
  </si>
  <si>
    <t>2018-04-13</t>
  </si>
  <si>
    <t>2018-04-16</t>
  </si>
  <si>
    <t>2018-04-17</t>
  </si>
  <si>
    <t>2018-04-18</t>
  </si>
  <si>
    <t>2018-04-20</t>
  </si>
  <si>
    <t>2018-04-23</t>
  </si>
  <si>
    <t>2018-04-24</t>
  </si>
  <si>
    <t>2018-04-26</t>
  </si>
  <si>
    <t>2018-04-30</t>
  </si>
  <si>
    <t>2018-05-03</t>
  </si>
  <si>
    <t>2018-05-11</t>
  </si>
  <si>
    <t>2018-05-17</t>
  </si>
  <si>
    <t>2018-05-22</t>
  </si>
  <si>
    <t>2018-05-23</t>
  </si>
  <si>
    <t>2018-05-24</t>
  </si>
  <si>
    <t>2018-05-25</t>
  </si>
  <si>
    <t>2018-05-29</t>
  </si>
  <si>
    <t>2018-05-28</t>
  </si>
  <si>
    <t>2018-03-16</t>
  </si>
  <si>
    <t>2018-03-20</t>
  </si>
  <si>
    <t>2018-04-12</t>
  </si>
  <si>
    <t>2018-04-19</t>
  </si>
  <si>
    <t>2018-04-25</t>
  </si>
  <si>
    <t>2018-05-04</t>
  </si>
  <si>
    <t>2018-03-12</t>
  </si>
  <si>
    <t>2018-03-14</t>
  </si>
  <si>
    <t>2018-03-19</t>
  </si>
  <si>
    <t>2018-05-10</t>
  </si>
  <si>
    <t>2018-05-18</t>
  </si>
  <si>
    <t>2018-05-30</t>
  </si>
  <si>
    <t>2018-03-06</t>
  </si>
  <si>
    <t>2018-05-31</t>
  </si>
  <si>
    <t>2018-03-05</t>
  </si>
  <si>
    <t>CLIENTES</t>
  </si>
  <si>
    <t>TOTAL</t>
  </si>
  <si>
    <t>FALABELLA RETAIL S.A.</t>
  </si>
  <si>
    <t xml:space="preserve">PENDIENTES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</si>
</sst>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4"/>
      <color theme="1"/>
      <name val="Aharoni"/>
      <charset val="177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3" fontId="0" fillId="0" borderId="0" xfId="0" applyNumberFormat="1"/>
    <xf numFmtId="0" fontId="1" fillId="2" borderId="0" xfId="0" applyFont="1" applyFill="1" applyAlignment="1">
      <alignment horizontal="left" vertical="center" indent="5"/>
    </xf>
  </cellXfs>
  <cellStyles count="1">
    <cellStyle name="Normal" xfId="0" builtinId="0"/>
  </cellStyles>
  <dxfs count="233">
    <dxf>
      <font>
        <color indexed="9"/>
      </font>
    </dxf>
    <dxf>
      <font>
        <color indexed="9"/>
      </font>
    </dxf>
    <dxf>
      <font>
        <color indexed="9"/>
      </font>
    </dxf>
    <dxf>
      <font>
        <color indexed="9"/>
      </font>
    </dxf>
    <dxf>
      <font>
        <color indexed="9"/>
      </font>
    </dxf>
    <dxf>
      <font>
        <color indexed="9"/>
      </font>
    </dxf>
    <dxf>
      <font>
        <color indexed="9"/>
      </font>
    </dxf>
    <dxf>
      <font>
        <color indexed="9"/>
      </font>
    </dxf>
    <dxf>
      <font>
        <color indexed="9"/>
      </font>
    </dxf>
    <dxf>
      <font>
        <color indexed="9"/>
      </font>
    </dxf>
    <dxf>
      <font>
        <color indexed="9"/>
      </font>
    </dxf>
    <dxf>
      <font>
        <color indexed="9"/>
      </font>
    </dxf>
    <dxf>
      <font>
        <b/>
      </font>
    </dxf>
    <dxf>
      <font>
        <color indexed="9"/>
      </font>
    </dxf>
    <dxf>
      <fill>
        <patternFill patternType="solid">
          <bgColor indexed="32"/>
        </patternFill>
      </fill>
    </dxf>
    <dxf>
      <font>
        <b/>
      </font>
    </dxf>
    <dxf>
      <font>
        <color indexed="9"/>
      </font>
    </dxf>
    <dxf>
      <fill>
        <patternFill patternType="solid">
          <bgColor indexed="32"/>
        </patternFill>
      </fill>
    </dxf>
    <dxf>
      <font>
        <b/>
      </font>
    </dxf>
    <dxf>
      <font>
        <color indexed="9"/>
      </font>
    </dxf>
    <dxf>
      <fill>
        <patternFill patternType="solid">
          <bgColor indexed="32"/>
        </patternFill>
      </fill>
    </dxf>
    <dxf>
      <font>
        <b/>
      </font>
    </dxf>
    <dxf>
      <font>
        <color indexed="9"/>
      </font>
    </dxf>
    <dxf>
      <fill>
        <patternFill patternType="solid">
          <bgColor indexed="32"/>
        </patternFill>
      </fill>
    </dxf>
    <dxf>
      <font>
        <b/>
      </font>
    </dxf>
    <dxf>
      <font>
        <color indexed="9"/>
      </font>
    </dxf>
    <dxf>
      <fill>
        <patternFill patternType="solid">
          <bgColor indexed="32"/>
        </patternFill>
      </fill>
    </dxf>
    <dxf>
      <font>
        <b/>
      </font>
    </dxf>
    <dxf>
      <font>
        <color indexed="9"/>
      </font>
    </dxf>
    <dxf>
      <fill>
        <patternFill patternType="solid">
          <bgColor indexed="32"/>
        </patternFill>
      </fill>
    </dxf>
    <dxf>
      <font>
        <b/>
      </font>
    </dxf>
    <dxf>
      <font>
        <color indexed="9"/>
      </font>
    </dxf>
    <dxf>
      <fill>
        <patternFill patternType="solid">
          <bgColor indexed="32"/>
        </patternFill>
      </fill>
    </dxf>
    <dxf>
      <font>
        <b/>
      </font>
    </dxf>
    <dxf>
      <font>
        <color indexed="9"/>
      </font>
    </dxf>
    <dxf>
      <fill>
        <patternFill patternType="solid">
          <bgColor indexed="32"/>
        </patternFill>
      </fill>
    </dxf>
    <dxf>
      <font>
        <color indexed="9"/>
      </font>
    </dxf>
    <dxf>
      <font>
        <color indexed="9"/>
      </font>
    </dxf>
    <dxf>
      <font>
        <color indexed="9"/>
      </font>
    </dxf>
    <dxf>
      <font>
        <color indexed="9"/>
      </font>
    </dxf>
    <dxf>
      <font>
        <color indexed="9"/>
      </font>
    </dxf>
    <dxf>
      <font>
        <color indexed="9"/>
      </font>
    </dxf>
    <dxf>
      <font>
        <color indexed="9"/>
      </font>
    </dxf>
    <dxf>
      <font>
        <color indexed="9"/>
      </font>
    </dxf>
    <dxf>
      <font>
        <color indexed="9"/>
      </font>
    </dxf>
    <dxf>
      <font>
        <color indexed="9"/>
      </font>
    </dxf>
    <dxf>
      <font>
        <color indexed="9"/>
      </font>
    </dxf>
    <dxf>
      <font>
        <color indexed="9"/>
      </font>
    </dxf>
    <dxf>
      <font>
        <color indexed="9"/>
      </font>
    </dxf>
    <dxf>
      <font>
        <color indexed="9"/>
      </font>
    </dxf>
    <dxf>
      <font>
        <color indexed="9"/>
      </font>
    </dxf>
    <dxf>
      <font>
        <color indexed="9"/>
      </font>
    </dxf>
    <dxf>
      <font>
        <color indexed="9"/>
      </font>
    </dxf>
    <dxf>
      <font>
        <color indexed="9"/>
      </font>
    </dxf>
    <dxf>
      <font>
        <color indexed="9"/>
      </font>
    </dxf>
    <dxf>
      <font>
        <color indexed="9"/>
      </font>
    </dxf>
    <dxf>
      <font>
        <color indexed="9"/>
      </font>
    </dxf>
    <dxf>
      <font>
        <color indexed="9"/>
      </font>
    </dxf>
    <dxf>
      <font>
        <color indexed="9"/>
      </font>
    </dxf>
    <dxf>
      <font>
        <color indexed="9"/>
      </font>
    </dxf>
    <dxf>
      <font>
        <color indexed="9"/>
      </font>
    </dxf>
    <dxf>
      <font>
        <color indexed="9"/>
      </font>
    </dxf>
    <dxf>
      <font>
        <color indexed="9"/>
      </font>
    </dxf>
    <dxf>
      <font>
        <color indexed="9"/>
      </font>
    </dxf>
    <dxf>
      <font>
        <color indexed="9"/>
      </font>
    </dxf>
    <dxf>
      <font>
        <color indexed="9"/>
      </font>
    </dxf>
    <dxf>
      <font>
        <color indexed="9"/>
      </font>
    </dxf>
    <dxf>
      <font>
        <color indexed="9"/>
      </font>
    </dxf>
    <dxf>
      <font>
        <color indexed="9"/>
      </font>
    </dxf>
    <dxf>
      <font>
        <color indexed="9"/>
      </font>
    </dxf>
    <dxf>
      <font>
        <color indexed="9"/>
      </font>
    </dxf>
    <dxf>
      <font>
        <color indexed="9"/>
      </font>
    </dxf>
    <dxf>
      <font>
        <color indexed="9"/>
      </font>
    </dxf>
    <dxf>
      <font>
        <color indexed="9"/>
      </font>
    </dxf>
    <dxf>
      <font>
        <color indexed="9"/>
      </font>
    </dxf>
    <dxf>
      <font>
        <color indexed="9"/>
      </font>
    </dxf>
    <dxf>
      <font>
        <color indexed="9"/>
      </font>
    </dxf>
    <dxf>
      <font>
        <color indexed="9"/>
      </font>
    </dxf>
    <dxf>
      <font>
        <color indexed="9"/>
      </font>
    </dxf>
    <dxf>
      <font>
        <color indexed="9"/>
      </font>
    </dxf>
    <dxf>
      <font>
        <b/>
      </font>
    </dxf>
    <dxf>
      <font>
        <color indexed="9"/>
      </font>
    </dxf>
    <dxf>
      <fill>
        <patternFill patternType="solid">
          <bgColor indexed="32"/>
        </patternFill>
      </fill>
    </dxf>
    <dxf>
      <font>
        <b/>
      </font>
    </dxf>
    <dxf>
      <font>
        <color indexed="9"/>
      </font>
    </dxf>
    <dxf>
      <fill>
        <patternFill patternType="solid">
          <bgColor indexed="32"/>
        </patternFill>
      </fill>
    </dxf>
    <dxf>
      <font>
        <b/>
      </font>
    </dxf>
    <dxf>
      <font>
        <color indexed="9"/>
      </font>
    </dxf>
    <dxf>
      <fill>
        <patternFill patternType="solid">
          <bgColor indexed="32"/>
        </patternFill>
      </fill>
    </dxf>
    <dxf>
      <font>
        <b/>
      </font>
    </dxf>
    <dxf>
      <font>
        <color indexed="9"/>
      </font>
    </dxf>
    <dxf>
      <font>
        <b/>
      </font>
    </dxf>
    <dxf>
      <font>
        <color indexed="9"/>
      </font>
    </dxf>
    <dxf>
      <fill>
        <patternFill patternType="solid">
          <bgColor indexed="32"/>
        </patternFill>
      </fill>
    </dxf>
    <dxf>
      <font>
        <b/>
      </font>
    </dxf>
    <dxf>
      <font>
        <color indexed="9"/>
      </font>
    </dxf>
    <dxf>
      <fill>
        <patternFill patternType="solid">
          <bgColor indexed="32"/>
        </patternFill>
      </fill>
    </dxf>
    <dxf>
      <font>
        <b/>
      </font>
    </dxf>
    <dxf>
      <font>
        <color indexed="9"/>
      </font>
    </dxf>
    <dxf>
      <fill>
        <patternFill patternType="solid">
          <bgColor indexed="32"/>
        </patternFill>
      </fill>
    </dxf>
    <dxf>
      <font>
        <b/>
      </font>
    </dxf>
    <dxf>
      <font>
        <color indexed="9"/>
      </font>
    </dxf>
    <dxf>
      <font>
        <b/>
      </font>
    </dxf>
    <dxf>
      <font>
        <color indexed="9"/>
      </font>
    </dxf>
    <dxf>
      <fill>
        <patternFill patternType="solid">
          <bgColor indexed="32"/>
        </patternFill>
      </fill>
    </dxf>
    <dxf>
      <font>
        <b/>
      </font>
    </dxf>
    <dxf>
      <font>
        <color indexed="9"/>
      </font>
    </dxf>
    <dxf>
      <fill>
        <patternFill patternType="solid">
          <bgColor indexed="32"/>
        </patternFill>
      </fill>
    </dxf>
    <dxf>
      <font>
        <b/>
      </font>
    </dxf>
    <dxf>
      <font>
        <color indexed="9"/>
      </font>
    </dxf>
    <dxf>
      <fill>
        <patternFill patternType="solid">
          <bgColor indexed="32"/>
        </patternFill>
      </fill>
    </dxf>
    <dxf>
      <font>
        <b/>
      </font>
    </dxf>
    <dxf>
      <font>
        <color indexed="9"/>
      </font>
    </dxf>
    <dxf>
      <font>
        <b/>
      </font>
    </dxf>
    <dxf>
      <font>
        <color indexed="9"/>
      </font>
    </dxf>
    <dxf>
      <fill>
        <patternFill patternType="solid">
          <bgColor indexed="32"/>
        </patternFill>
      </fill>
    </dxf>
    <dxf>
      <font>
        <b/>
      </font>
    </dxf>
    <dxf>
      <font>
        <color indexed="9"/>
      </font>
    </dxf>
    <dxf>
      <fill>
        <patternFill patternType="solid">
          <bgColor indexed="32"/>
        </patternFill>
      </fill>
    </dxf>
    <dxf>
      <font>
        <b/>
      </font>
    </dxf>
    <dxf>
      <font>
        <color indexed="9"/>
      </font>
    </dxf>
    <dxf>
      <fill>
        <patternFill patternType="solid">
          <bgColor indexed="32"/>
        </patternFill>
      </fill>
    </dxf>
    <dxf>
      <font>
        <b/>
      </font>
    </dxf>
    <dxf>
      <font>
        <color indexed="9"/>
      </font>
    </dxf>
    <dxf>
      <font>
        <b/>
      </font>
    </dxf>
    <dxf>
      <font>
        <color indexed="9"/>
      </font>
    </dxf>
    <dxf>
      <fill>
        <patternFill patternType="solid">
          <bgColor indexed="32"/>
        </patternFill>
      </fill>
    </dxf>
    <dxf>
      <font>
        <b/>
      </font>
    </dxf>
    <dxf>
      <font>
        <color indexed="9"/>
      </font>
    </dxf>
    <dxf>
      <fill>
        <patternFill patternType="solid">
          <bgColor indexed="32"/>
        </patternFill>
      </fill>
    </dxf>
    <dxf>
      <font>
        <b/>
      </font>
    </dxf>
    <dxf>
      <font>
        <color indexed="9"/>
      </font>
    </dxf>
    <dxf>
      <fill>
        <patternFill patternType="solid">
          <bgColor indexed="32"/>
        </patternFill>
      </fill>
    </dxf>
    <dxf>
      <font>
        <b/>
      </font>
    </dxf>
    <dxf>
      <font>
        <color indexed="9"/>
      </font>
    </dxf>
    <dxf>
      <font>
        <b/>
      </font>
    </dxf>
    <dxf>
      <font>
        <color indexed="9"/>
      </font>
    </dxf>
    <dxf>
      <fill>
        <patternFill patternType="solid">
          <bgColor indexed="32"/>
        </patternFill>
      </fill>
    </dxf>
    <dxf>
      <font>
        <b/>
      </font>
    </dxf>
    <dxf>
      <font>
        <color indexed="9"/>
      </font>
    </dxf>
    <dxf>
      <fill>
        <patternFill patternType="solid">
          <bgColor indexed="32"/>
        </patternFill>
      </fill>
    </dxf>
    <dxf>
      <font>
        <color indexed="9"/>
      </font>
    </dxf>
    <dxf>
      <font>
        <color indexed="9"/>
      </font>
    </dxf>
    <dxf>
      <font>
        <b/>
      </font>
    </dxf>
    <dxf>
      <font>
        <color indexed="9"/>
      </font>
    </dxf>
    <dxf>
      <fill>
        <patternFill patternType="solid">
          <bgColor indexed="32"/>
        </patternFill>
      </fill>
    </dxf>
    <dxf>
      <font>
        <b/>
      </font>
    </dxf>
    <dxf>
      <font>
        <color indexed="9"/>
      </font>
    </dxf>
    <dxf>
      <fill>
        <patternFill patternType="solid">
          <bgColor indexed="32"/>
        </patternFill>
      </fill>
    </dxf>
    <dxf>
      <font>
        <color indexed="9"/>
      </font>
    </dxf>
    <dxf>
      <font>
        <color indexed="9"/>
      </font>
    </dxf>
    <dxf>
      <font>
        <b/>
      </font>
    </dxf>
    <dxf>
      <font>
        <color indexed="9"/>
      </font>
    </dxf>
    <dxf>
      <fill>
        <patternFill patternType="solid">
          <bgColor indexed="32"/>
        </patternFill>
      </fill>
    </dxf>
    <dxf>
      <font>
        <b/>
      </font>
    </dxf>
    <dxf>
      <font>
        <color indexed="9"/>
      </font>
    </dxf>
    <dxf>
      <fill>
        <patternFill patternType="solid">
          <bgColor indexed="32"/>
        </patternFill>
      </fill>
    </dxf>
    <dxf>
      <font>
        <color indexed="9"/>
      </font>
    </dxf>
    <dxf>
      <font>
        <color indexed="9"/>
      </font>
    </dxf>
    <dxf>
      <font>
        <b/>
      </font>
    </dxf>
    <dxf>
      <font>
        <color indexed="9"/>
      </font>
    </dxf>
    <dxf>
      <fill>
        <patternFill patternType="solid">
          <bgColor indexed="32"/>
        </patternFill>
      </fill>
    </dxf>
    <dxf>
      <font>
        <b/>
      </font>
    </dxf>
    <dxf>
      <font>
        <color indexed="9"/>
      </font>
    </dxf>
    <dxf>
      <fill>
        <patternFill patternType="solid">
          <bgColor indexed="32"/>
        </patternFill>
      </fill>
    </dxf>
    <dxf>
      <font>
        <color indexed="9"/>
      </font>
    </dxf>
    <dxf>
      <font>
        <color indexed="9"/>
      </font>
    </dxf>
    <dxf>
      <font>
        <b/>
      </font>
    </dxf>
    <dxf>
      <font>
        <color indexed="9"/>
      </font>
    </dxf>
    <dxf>
      <fill>
        <patternFill patternType="solid">
          <bgColor indexed="32"/>
        </patternFill>
      </fill>
    </dxf>
    <dxf>
      <font>
        <color indexed="9"/>
      </font>
    </dxf>
    <dxf>
      <font>
        <b/>
      </font>
    </dxf>
    <dxf>
      <font>
        <color indexed="9"/>
      </font>
    </dxf>
    <dxf>
      <fill>
        <patternFill patternType="solid">
          <bgColor indexed="32"/>
        </patternFill>
      </fill>
    </dxf>
    <dxf>
      <font>
        <color indexed="9"/>
      </font>
    </dxf>
    <dxf>
      <font>
        <b/>
      </font>
    </dxf>
    <dxf>
      <font>
        <color indexed="9"/>
      </font>
    </dxf>
    <dxf>
      <fill>
        <patternFill patternType="solid">
          <bgColor indexed="32"/>
        </patternFill>
      </fill>
    </dxf>
    <dxf>
      <font>
        <color indexed="9"/>
      </font>
    </dxf>
    <dxf>
      <font>
        <b/>
      </font>
    </dxf>
    <dxf>
      <font>
        <color indexed="9"/>
      </font>
    </dxf>
    <dxf>
      <fill>
        <patternFill patternType="solid">
          <bgColor indexed="32"/>
        </patternFill>
      </fill>
    </dxf>
    <dxf>
      <font>
        <color indexed="9"/>
      </font>
    </dxf>
    <dxf>
      <font>
        <color indexed="9"/>
      </font>
    </dxf>
    <dxf>
      <font>
        <color indexed="9"/>
      </font>
    </dxf>
    <dxf>
      <font>
        <color indexed="9"/>
      </font>
    </dxf>
    <dxf>
      <font>
        <color indexed="9"/>
      </font>
    </dxf>
    <dxf>
      <font>
        <color indexed="9"/>
      </font>
    </dxf>
    <dxf>
      <font>
        <color indexed="9"/>
      </font>
    </dxf>
    <dxf>
      <font>
        <color indexed="9"/>
      </font>
    </dxf>
    <dxf>
      <font>
        <color indexed="9"/>
      </font>
    </dxf>
    <dxf>
      <font>
        <b/>
      </font>
    </dxf>
    <dxf>
      <font>
        <color indexed="9"/>
      </font>
    </dxf>
    <dxf>
      <font>
        <b/>
      </font>
    </dxf>
    <dxf>
      <font>
        <color indexed="9"/>
      </font>
    </dxf>
    <dxf>
      <font>
        <b/>
      </font>
    </dxf>
    <dxf>
      <font>
        <color indexed="9"/>
      </font>
    </dxf>
    <dxf>
      <font>
        <b/>
      </font>
    </dxf>
    <dxf>
      <font>
        <color indexed="9"/>
      </font>
    </dxf>
    <dxf>
      <font>
        <color indexed="9"/>
      </font>
    </dxf>
    <dxf>
      <font>
        <color indexed="9"/>
      </font>
    </dxf>
    <dxf>
      <fill>
        <patternFill>
          <bgColor indexed="32"/>
        </patternFill>
      </fill>
    </dxf>
    <dxf>
      <font>
        <color indexed="9"/>
      </font>
    </dxf>
    <dxf>
      <fill>
        <patternFill>
          <bgColor indexed="32"/>
        </patternFill>
      </fill>
    </dxf>
    <dxf>
      <font>
        <color indexed="9"/>
      </font>
    </dxf>
    <dxf>
      <fill>
        <patternFill>
          <bgColor indexed="32"/>
        </patternFill>
      </fill>
    </dxf>
    <dxf>
      <font>
        <color indexed="9"/>
      </font>
    </dxf>
    <dxf>
      <fill>
        <patternFill>
          <bgColor indexed="32"/>
        </patternFill>
      </fill>
    </dxf>
    <dxf>
      <font>
        <color indexed="9"/>
      </font>
    </dxf>
    <dxf>
      <font>
        <color indexed="9"/>
      </font>
    </dxf>
    <dxf>
      <font>
        <color indexed="9"/>
      </font>
    </dxf>
    <dxf>
      <font>
        <color indexed="9"/>
      </font>
    </dxf>
    <dxf>
      <font>
        <color indexed="9"/>
      </font>
    </dxf>
    <dxf>
      <font>
        <color indexed="10"/>
      </font>
    </dxf>
    <dxf>
      <font>
        <color indexed="10"/>
      </font>
    </dxf>
    <dxf>
      <font>
        <color indexed="10"/>
      </font>
    </dxf>
    <dxf>
      <font>
        <color indexed="10"/>
      </font>
    </dxf>
    <dxf>
      <font>
        <color indexed="10"/>
      </font>
    </dxf>
    <dxf>
      <font>
        <color rgb="FF020000"/>
      </font>
    </dxf>
    <dxf>
      <font>
        <color rgb="FF020000"/>
      </font>
    </dxf>
    <dxf>
      <font>
        <color rgb="FF020000"/>
      </font>
    </dxf>
    <dxf>
      <font>
        <color rgb="FF020000"/>
      </font>
    </dxf>
    <dxf>
      <font>
        <color rgb="FF020000"/>
      </font>
    </dxf>
    <dxf>
      <fill>
        <patternFill patternType="solid">
          <bgColor indexed="32"/>
        </patternFill>
      </fill>
    </dxf>
    <dxf>
      <fill>
        <patternFill patternType="solid">
          <bgColor indexed="32"/>
        </patternFill>
      </fill>
    </dxf>
    <dxf>
      <fill>
        <patternFill patternType="solid">
          <bgColor indexed="32"/>
        </patternFill>
      </fill>
    </dxf>
    <dxf>
      <fill>
        <patternFill patternType="solid">
          <bgColor indexed="32"/>
        </patternFill>
      </fill>
    </dxf>
    <dxf>
      <fill>
        <patternFill patternType="solid">
          <bgColor indexed="32"/>
        </patternFill>
      </fill>
    </dxf>
    <dxf>
      <fill>
        <patternFill patternType="solid">
          <bgColor indexed="46"/>
        </patternFill>
      </fill>
    </dxf>
    <dxf>
      <fill>
        <patternFill patternType="solid">
          <bgColor indexed="46"/>
        </patternFill>
      </fill>
    </dxf>
    <dxf>
      <fill>
        <patternFill patternType="solid">
          <bgColor indexed="46"/>
        </patternFill>
      </fill>
    </dxf>
    <dxf>
      <fill>
        <patternFill patternType="solid">
          <bgColor indexed="46"/>
        </patternFill>
      </fill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openxmlformats.org/officeDocument/2006/relationships/calcChain" Target="calcChain.xml"/><Relationship Id="rId5" Type="http://schemas.microsoft.com/office/2007/relationships/slicerCache" Target="slicerCaches/slicerCache1.xml"/><Relationship Id="rId10" Type="http://schemas.openxmlformats.org/officeDocument/2006/relationships/sharedStrings" Target="sharedStrings.xml"/><Relationship Id="rId4" Type="http://schemas.openxmlformats.org/officeDocument/2006/relationships/pivotCacheDefinition" Target="pivotCache/pivotCacheDefinition1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pivotSource>
    <c:name>[INF_FACT_RENDIDAS_Y_POR_RENDIR.xlsm]TD_GRAFICO01!Tabla dinámica Gráfico01</c:name>
    <c:fmtId val="3"/>
  </c:pivotSource>
  <c:chart>
    <c:autoTitleDeleted val="0"/>
    <c:pivotFmts>
      <c:pivotFmt>
        <c:idx val="0"/>
        <c:spPr>
          <a:gradFill rotWithShape="1">
            <a:gsLst>
              <a:gs pos="0">
                <a:schemeClr val="accent3">
                  <a:lumMod val="110000"/>
                  <a:satMod val="105000"/>
                  <a:tint val="67000"/>
                </a:schemeClr>
              </a:gs>
              <a:gs pos="50000">
                <a:schemeClr val="accent3">
                  <a:lumMod val="105000"/>
                  <a:satMod val="103000"/>
                  <a:tint val="73000"/>
                </a:schemeClr>
              </a:gs>
              <a:gs pos="100000">
                <a:schemeClr val="accent3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3">
                <a:shade val="95000"/>
              </a:schemeClr>
            </a:solidFill>
            <a:round/>
          </a:ln>
          <a:effectLst/>
        </c:spPr>
        <c:marker>
          <c:symbol val="circle"/>
          <c:size val="4"/>
          <c:spPr>
            <a:gradFill rotWithShape="1">
              <a:gsLst>
                <a:gs pos="0">
                  <a:schemeClr val="accent3">
                    <a:shade val="76000"/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shade val="76000"/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shade val="7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shade val="76000"/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3">
                  <a:lumMod val="110000"/>
                  <a:satMod val="105000"/>
                  <a:tint val="67000"/>
                </a:schemeClr>
              </a:gs>
              <a:gs pos="50000">
                <a:schemeClr val="accent3">
                  <a:lumMod val="105000"/>
                  <a:satMod val="103000"/>
                  <a:tint val="73000"/>
                </a:schemeClr>
              </a:gs>
              <a:gs pos="100000">
                <a:schemeClr val="accent3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3">
                <a:shade val="95000"/>
              </a:schemeClr>
            </a:solidFill>
            <a:round/>
          </a:ln>
          <a:effectLst/>
        </c:spPr>
        <c:marker>
          <c:symbol val="circle"/>
          <c:size val="4"/>
          <c:spPr>
            <a:gradFill rotWithShape="1">
              <a:gsLst>
                <a:gs pos="0">
                  <a:schemeClr val="accent3">
                    <a:tint val="77000"/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tint val="77000"/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tint val="7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tint val="77000"/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3">
                  <a:lumMod val="110000"/>
                  <a:satMod val="105000"/>
                  <a:tint val="67000"/>
                </a:schemeClr>
              </a:gs>
              <a:gs pos="50000">
                <a:schemeClr val="accent3">
                  <a:lumMod val="105000"/>
                  <a:satMod val="103000"/>
                  <a:tint val="73000"/>
                </a:schemeClr>
              </a:gs>
              <a:gs pos="100000">
                <a:schemeClr val="accent3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3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3"/>
        <c:spPr>
          <a:gradFill rotWithShape="1">
            <a:gsLst>
              <a:gs pos="0">
                <a:schemeClr val="accent3">
                  <a:lumMod val="110000"/>
                  <a:satMod val="105000"/>
                  <a:tint val="67000"/>
                </a:schemeClr>
              </a:gs>
              <a:gs pos="50000">
                <a:schemeClr val="accent3">
                  <a:lumMod val="105000"/>
                  <a:satMod val="103000"/>
                  <a:tint val="73000"/>
                </a:schemeClr>
              </a:gs>
              <a:gs pos="100000">
                <a:schemeClr val="accent3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3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TD_GRAFICO01!$B$1</c:f>
              <c:strCache>
                <c:ptCount val="1"/>
                <c:pt idx="0">
                  <c:v>TOTAL FACTURAS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hade val="76000"/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shade val="76000"/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shade val="7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shade val="76000"/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TD_GRAFICO01!$A$2:$A$5</c:f>
              <c:strCache>
                <c:ptCount val="3"/>
                <c:pt idx="0">
                  <c:v>FALABELLA RETAIL S.A.</c:v>
                </c:pt>
                <c:pt idx="1">
                  <c:v>HOMY</c:v>
                </c:pt>
                <c:pt idx="2">
                  <c:v>SODIMAC S.A</c:v>
                </c:pt>
              </c:strCache>
            </c:strRef>
          </c:cat>
          <c:val>
            <c:numRef>
              <c:f>TD_GRAFICO01!$B$2:$B$5</c:f>
              <c:numCache>
                <c:formatCode>#,##0</c:formatCode>
                <c:ptCount val="3"/>
                <c:pt idx="0">
                  <c:v>701</c:v>
                </c:pt>
                <c:pt idx="1">
                  <c:v>663</c:v>
                </c:pt>
                <c:pt idx="2">
                  <c:v>135</c:v>
                </c:pt>
              </c:numCache>
            </c:numRef>
          </c:val>
        </c:ser>
        <c:ser>
          <c:idx val="1"/>
          <c:order val="1"/>
          <c:tx>
            <c:strRef>
              <c:f>TD_GRAFICO01!$C$1</c:f>
              <c:strCache>
                <c:ptCount val="1"/>
                <c:pt idx="0">
                  <c:v>CANT RENDIDAS 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tint val="77000"/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tint val="77000"/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tint val="7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tint val="77000"/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TD_GRAFICO01!$A$2:$A$5</c:f>
              <c:strCache>
                <c:ptCount val="3"/>
                <c:pt idx="0">
                  <c:v>FALABELLA RETAIL S.A.</c:v>
                </c:pt>
                <c:pt idx="1">
                  <c:v>HOMY</c:v>
                </c:pt>
                <c:pt idx="2">
                  <c:v>SODIMAC S.A</c:v>
                </c:pt>
              </c:strCache>
            </c:strRef>
          </c:cat>
          <c:val>
            <c:numRef>
              <c:f>TD_GRAFICO01!$C$2:$C$5</c:f>
              <c:numCache>
                <c:formatCode>#,##0</c:formatCode>
                <c:ptCount val="3"/>
                <c:pt idx="0">
                  <c:v>693</c:v>
                </c:pt>
                <c:pt idx="1">
                  <c:v>662</c:v>
                </c:pt>
                <c:pt idx="2">
                  <c:v>133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59492720"/>
        <c:axId val="261565968"/>
      </c:barChart>
      <c:catAx>
        <c:axId val="259492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261565968"/>
        <c:crosses val="autoZero"/>
        <c:auto val="1"/>
        <c:lblAlgn val="ctr"/>
        <c:lblOffset val="100"/>
        <c:noMultiLvlLbl val="0"/>
      </c:catAx>
      <c:valAx>
        <c:axId val="261565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259492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14287</xdr:colOff>
      <xdr:row>3</xdr:row>
      <xdr:rowOff>14288</xdr:rowOff>
    </xdr:from>
    <xdr:to>
      <xdr:col>1</xdr:col>
      <xdr:colOff>1309687</xdr:colOff>
      <xdr:row>7</xdr:row>
      <xdr:rowOff>166687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Ñ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3350" y="585788"/>
              <a:ext cx="1295400" cy="9143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14286</xdr:colOff>
      <xdr:row>8</xdr:row>
      <xdr:rowOff>2381</xdr:rowOff>
    </xdr:from>
    <xdr:to>
      <xdr:col>1</xdr:col>
      <xdr:colOff>1309687</xdr:colOff>
      <xdr:row>22</xdr:row>
      <xdr:rowOff>142874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MES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3349" y="1526381"/>
              <a:ext cx="1295401" cy="280749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309564</xdr:colOff>
      <xdr:row>0</xdr:row>
      <xdr:rowOff>0</xdr:rowOff>
    </xdr:from>
    <xdr:to>
      <xdr:col>9</xdr:col>
      <xdr:colOff>595314</xdr:colOff>
      <xdr:row>2</xdr:row>
      <xdr:rowOff>125557</xdr:rowOff>
    </xdr:to>
    <xdr:pic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24814" y="0"/>
          <a:ext cx="1393031" cy="506557"/>
        </a:xfrm>
        <a:prstGeom prst="rect">
          <a:avLst/>
        </a:prstGeom>
      </xdr:spPr>
    </xdr:pic>
    <xdr:clientData/>
  </xdr:twoCellAnchor>
  <xdr:twoCellAnchor editAs="absolute">
    <xdr:from>
      <xdr:col>1</xdr:col>
      <xdr:colOff>1369217</xdr:colOff>
      <xdr:row>3</xdr:row>
      <xdr:rowOff>15477</xdr:rowOff>
    </xdr:from>
    <xdr:to>
      <xdr:col>9</xdr:col>
      <xdr:colOff>845344</xdr:colOff>
      <xdr:row>22</xdr:row>
      <xdr:rowOff>130969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22</xdr:row>
          <xdr:rowOff>171450</xdr:rowOff>
        </xdr:from>
        <xdr:to>
          <xdr:col>6</xdr:col>
          <xdr:colOff>685800</xdr:colOff>
          <xdr:row>23</xdr:row>
          <xdr:rowOff>314325</xdr:rowOff>
        </xdr:to>
        <xdr:sp macro="" textlink="">
          <xdr:nvSpPr>
            <xdr:cNvPr id="1025" name="cmdDetalle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spinoza, Manuel " refreshedDate="43256.490556481484" createdVersion="5" refreshedVersion="5" minRefreshableVersion="3" recordCount="1499">
  <cacheSource type="worksheet">
    <worksheetSource name="Tabla__192.168.1.8_POSEIDONSQL_APPFVT_01_SQLFacturasRendidas"/>
  </cacheSource>
  <cacheFields count="11">
    <cacheField name="usu_codigo" numFmtId="0">
      <sharedItems containsSemiMixedTypes="0" containsString="0" containsNumber="1" containsInteger="1" minValue="1" maxValue="1"/>
    </cacheField>
    <cacheField name="inf_tipoInforme" numFmtId="0">
      <sharedItems containsSemiMixedTypes="0" containsString="0" containsNumber="1" containsInteger="1" minValue="3" maxValue="3"/>
    </cacheField>
    <cacheField name="car_nombre" numFmtId="0">
      <sharedItems count="3">
        <s v="FALABELLA RETAIL S.A."/>
        <s v="SODIMAC S.A"/>
        <s v="HOMY"/>
      </sharedItems>
    </cacheField>
    <cacheField name="epc_nombre" numFmtId="0">
      <sharedItems/>
    </cacheField>
    <cacheField name="f_facturacion" numFmtId="0">
      <sharedItems/>
    </cacheField>
    <cacheField name="fac_factura" numFmtId="0">
      <sharedItems containsSemiMixedTypes="0" containsString="0" containsNumber="1" containsInteger="1" minValue="3286" maxValue="93986" count="1497">
        <n v="90279"/>
        <n v="90280"/>
        <n v="90281"/>
        <n v="90282"/>
        <n v="90283"/>
        <n v="90284"/>
        <n v="90285"/>
        <n v="90286"/>
        <n v="90287"/>
        <n v="90288"/>
        <n v="90289"/>
        <n v="90290"/>
        <n v="90291"/>
        <n v="90317"/>
        <n v="90423"/>
        <n v="90424"/>
        <n v="90425"/>
        <n v="90426"/>
        <n v="90427"/>
        <n v="90428"/>
        <n v="90429"/>
        <n v="90430"/>
        <n v="90431"/>
        <n v="90432"/>
        <n v="90433"/>
        <n v="90434"/>
        <n v="90435"/>
        <n v="90436"/>
        <n v="90437"/>
        <n v="90438"/>
        <n v="90439"/>
        <n v="90440"/>
        <n v="90441"/>
        <n v="90443"/>
        <n v="90444"/>
        <n v="90445"/>
        <n v="90446"/>
        <n v="90474"/>
        <n v="90475"/>
        <n v="91076"/>
        <n v="91077"/>
        <n v="91078"/>
        <n v="91079"/>
        <n v="91080"/>
        <n v="91081"/>
        <n v="91082"/>
        <n v="91083"/>
        <n v="91084"/>
        <n v="91085"/>
        <n v="91176"/>
        <n v="91177"/>
        <n v="91178"/>
        <n v="91179"/>
        <n v="91180"/>
        <n v="91181"/>
        <n v="91182"/>
        <n v="91183"/>
        <n v="91184"/>
        <n v="91185"/>
        <n v="91186"/>
        <n v="91187"/>
        <n v="91188"/>
        <n v="91189"/>
        <n v="91190"/>
        <n v="91191"/>
        <n v="91192"/>
        <n v="91193"/>
        <n v="91194"/>
        <n v="91195"/>
        <n v="91196"/>
        <n v="91197"/>
        <n v="91198"/>
        <n v="91199"/>
        <n v="91200"/>
        <n v="91201"/>
        <n v="91202"/>
        <n v="91203"/>
        <n v="91352"/>
        <n v="91497"/>
        <n v="91600"/>
        <n v="91601"/>
        <n v="91602"/>
        <n v="91603"/>
        <n v="91604"/>
        <n v="91605"/>
        <n v="91606"/>
        <n v="91607"/>
        <n v="91608"/>
        <n v="91609"/>
        <n v="91612"/>
        <n v="91613"/>
        <n v="91614"/>
        <n v="91615"/>
        <n v="91616"/>
        <n v="91617"/>
        <n v="91618"/>
        <n v="91619"/>
        <n v="91620"/>
        <n v="91733"/>
        <n v="91734"/>
        <n v="91735"/>
        <n v="91736"/>
        <n v="91737"/>
        <n v="91738"/>
        <n v="91739"/>
        <n v="91740"/>
        <n v="91741"/>
        <n v="91742"/>
        <n v="91743"/>
        <n v="91744"/>
        <n v="91745"/>
        <n v="91746"/>
        <n v="91747"/>
        <n v="91830"/>
        <n v="91831"/>
        <n v="91832"/>
        <n v="91833"/>
        <n v="92156"/>
        <n v="92157"/>
        <n v="92158"/>
        <n v="92159"/>
        <n v="92160"/>
        <n v="92161"/>
        <n v="92162"/>
        <n v="92163"/>
        <n v="92164"/>
        <n v="92165"/>
        <n v="92166"/>
        <n v="92167"/>
        <n v="92168"/>
        <n v="92169"/>
        <n v="92170"/>
        <n v="92171"/>
        <n v="92172"/>
        <n v="92173"/>
        <n v="92174"/>
        <n v="92175"/>
        <n v="92176"/>
        <n v="92177"/>
        <n v="92178"/>
        <n v="92179"/>
        <n v="92180"/>
        <n v="92181"/>
        <n v="92182"/>
        <n v="92183"/>
        <n v="92184"/>
        <n v="92185"/>
        <n v="92186"/>
        <n v="92187"/>
        <n v="92188"/>
        <n v="92189"/>
        <n v="92190"/>
        <n v="92191"/>
        <n v="92192"/>
        <n v="92256"/>
        <n v="92257"/>
        <n v="92576"/>
        <n v="92577"/>
        <n v="92578"/>
        <n v="92579"/>
        <n v="92580"/>
        <n v="92581"/>
        <n v="92582"/>
        <n v="92583"/>
        <n v="92584"/>
        <n v="92585"/>
        <n v="92586"/>
        <n v="92587"/>
        <n v="92588"/>
        <n v="92672"/>
        <n v="92673"/>
        <n v="92674"/>
        <n v="92675"/>
        <n v="92676"/>
        <n v="92677"/>
        <n v="92678"/>
        <n v="92679"/>
        <n v="92680"/>
        <n v="92681"/>
        <n v="92682"/>
        <n v="92683"/>
        <n v="92684"/>
        <n v="92685"/>
        <n v="92686"/>
        <n v="92687"/>
        <n v="92688"/>
        <n v="92689"/>
        <n v="92690"/>
        <n v="92691"/>
        <n v="92692"/>
        <n v="92693"/>
        <n v="92694"/>
        <n v="92695"/>
        <n v="92696"/>
        <n v="92697"/>
        <n v="92949"/>
        <n v="92950"/>
        <n v="92951"/>
        <n v="92952"/>
        <n v="92953"/>
        <n v="92954"/>
        <n v="93033"/>
        <n v="93034"/>
        <n v="93035"/>
        <n v="93036"/>
        <n v="93037"/>
        <n v="93038"/>
        <n v="93039"/>
        <n v="93040"/>
        <n v="93041"/>
        <n v="93042"/>
        <n v="93043"/>
        <n v="93044"/>
        <n v="93045"/>
        <n v="93046"/>
        <n v="93047"/>
        <n v="93048"/>
        <n v="93141"/>
        <n v="93142"/>
        <n v="93143"/>
        <n v="93144"/>
        <n v="93145"/>
        <n v="93146"/>
        <n v="93147"/>
        <n v="93148"/>
        <n v="93149"/>
        <n v="93150"/>
        <n v="93151"/>
        <n v="93152"/>
        <n v="93159"/>
        <n v="93205"/>
        <n v="93206"/>
        <n v="93207"/>
        <n v="93208"/>
        <n v="93382"/>
        <n v="93445"/>
        <n v="93446"/>
        <n v="93447"/>
        <n v="93448"/>
        <n v="93449"/>
        <n v="93450"/>
        <n v="93451"/>
        <n v="93452"/>
        <n v="93453"/>
        <n v="93454"/>
        <n v="93455"/>
        <n v="93456"/>
        <n v="93457"/>
        <n v="93458"/>
        <n v="93513"/>
        <n v="93514"/>
        <n v="93515"/>
        <n v="93516"/>
        <n v="93517"/>
        <n v="93518"/>
        <n v="93519"/>
        <n v="93520"/>
        <n v="93521"/>
        <n v="93522"/>
        <n v="93523"/>
        <n v="93524"/>
        <n v="93525"/>
        <n v="93526"/>
        <n v="93527"/>
        <n v="93528"/>
        <n v="93529"/>
        <n v="93580"/>
        <n v="93581"/>
        <n v="93582"/>
        <n v="93583"/>
        <n v="93585"/>
        <n v="93586"/>
        <n v="93587"/>
        <n v="93775"/>
        <n v="93776"/>
        <n v="93777"/>
        <n v="93839"/>
        <n v="93840"/>
        <n v="93841"/>
        <n v="93842"/>
        <n v="93843"/>
        <n v="93844"/>
        <n v="93845"/>
        <n v="93846"/>
        <n v="93847"/>
        <n v="93848"/>
        <n v="93849"/>
        <n v="93850"/>
        <n v="93851"/>
        <n v="93852"/>
        <n v="93853"/>
        <n v="93854"/>
        <n v="93875"/>
        <n v="93876"/>
        <n v="93877"/>
        <n v="93878"/>
        <n v="93879"/>
        <n v="93880"/>
        <n v="93881"/>
        <n v="93882"/>
        <n v="93883"/>
        <n v="93884"/>
        <n v="93886"/>
        <n v="93977"/>
        <n v="93978"/>
        <n v="93980"/>
        <n v="93981"/>
        <n v="93982"/>
        <n v="93983"/>
        <n v="93984"/>
        <n v="93985"/>
        <n v="93986"/>
        <n v="91503"/>
        <n v="91504"/>
        <n v="91583"/>
        <n v="91584"/>
        <n v="91585"/>
        <n v="91586"/>
        <n v="91798"/>
        <n v="91825"/>
        <n v="91826"/>
        <n v="91972"/>
        <n v="91973"/>
        <n v="91974"/>
        <n v="91975"/>
        <n v="91976"/>
        <n v="91977"/>
        <n v="91978"/>
        <n v="91979"/>
        <n v="91980"/>
        <n v="91981"/>
        <n v="91982"/>
        <n v="91983"/>
        <n v="92066"/>
        <n v="92463"/>
        <n v="92464"/>
        <n v="92465"/>
        <n v="92466"/>
        <n v="92467"/>
        <n v="92468"/>
        <n v="92469"/>
        <n v="92565"/>
        <n v="92566"/>
        <n v="92567"/>
        <n v="92568"/>
        <n v="92569"/>
        <n v="92615"/>
        <n v="92616"/>
        <n v="92809"/>
        <n v="92880"/>
        <n v="92881"/>
        <n v="92993"/>
        <n v="92994"/>
        <n v="92995"/>
        <n v="92996"/>
        <n v="93933"/>
        <n v="93934"/>
        <n v="93935"/>
        <n v="93979"/>
        <n v="3286"/>
        <n v="3289"/>
        <n v="3290"/>
        <n v="3291"/>
        <n v="3292"/>
        <n v="3293"/>
        <n v="3294"/>
        <n v="3295"/>
        <n v="3296"/>
        <n v="3297"/>
        <n v="3298"/>
        <n v="3299"/>
        <n v="3300"/>
        <n v="3301"/>
        <n v="3302"/>
        <n v="3303"/>
        <n v="3304"/>
        <n v="3305"/>
        <n v="3306"/>
        <n v="3307"/>
        <n v="3308"/>
        <n v="3309"/>
        <n v="3310"/>
        <n v="3311"/>
        <n v="3312"/>
        <n v="3313"/>
        <n v="3314"/>
        <n v="3315"/>
        <n v="3316"/>
        <n v="3317"/>
        <n v="3319"/>
        <n v="3320"/>
        <n v="3321"/>
        <n v="3322"/>
        <n v="3323"/>
        <n v="3324"/>
        <n v="3325"/>
        <n v="3326"/>
        <n v="3327"/>
        <n v="3328"/>
        <n v="3329"/>
        <n v="3330"/>
        <n v="3331"/>
        <n v="3379"/>
        <n v="3380"/>
        <n v="3381"/>
        <n v="3382"/>
        <n v="3383"/>
        <n v="3384"/>
        <n v="3385"/>
        <n v="3386"/>
        <n v="3387"/>
        <n v="3388"/>
        <n v="3389"/>
        <n v="3390"/>
        <n v="3391"/>
        <n v="3392"/>
        <n v="3393"/>
        <n v="3394"/>
        <n v="3395"/>
        <n v="3396"/>
        <n v="3397"/>
        <n v="3398"/>
        <n v="3399"/>
        <n v="3400"/>
        <n v="3401"/>
        <n v="3402"/>
        <n v="3403"/>
        <n v="3404"/>
        <n v="3405"/>
        <n v="3406"/>
        <n v="3407"/>
        <n v="3408"/>
        <n v="3409"/>
        <n v="3410"/>
        <n v="3411"/>
        <n v="3412"/>
        <n v="3413"/>
        <n v="3414"/>
        <n v="3415"/>
        <n v="3416"/>
        <n v="3417"/>
        <n v="3418"/>
        <n v="3419"/>
        <n v="3420"/>
        <n v="3421"/>
        <n v="3422"/>
        <n v="3423"/>
        <n v="3424"/>
        <n v="3425"/>
        <n v="3480"/>
        <n v="3481"/>
        <n v="3482"/>
        <n v="3483"/>
        <n v="3484"/>
        <n v="3485"/>
        <n v="3486"/>
        <n v="3487"/>
        <n v="3488"/>
        <n v="3489"/>
        <n v="3490"/>
        <n v="3491"/>
        <n v="3492"/>
        <n v="3493"/>
        <n v="3494"/>
        <n v="3495"/>
        <n v="3496"/>
        <n v="3497"/>
        <n v="3498"/>
        <n v="3499"/>
        <n v="3500"/>
        <n v="3501"/>
        <n v="3502"/>
        <n v="3503"/>
        <n v="3504"/>
        <n v="3505"/>
        <n v="3506"/>
        <n v="3507"/>
        <n v="3508"/>
        <n v="3509"/>
        <n v="3510"/>
        <n v="3511"/>
        <n v="3512"/>
        <n v="3513"/>
        <n v="3514"/>
        <n v="3515"/>
        <n v="3516"/>
        <n v="3517"/>
        <n v="3518"/>
        <n v="3519"/>
        <n v="3520"/>
        <n v="3521"/>
        <n v="3523"/>
        <n v="3524"/>
        <n v="3525"/>
        <n v="3526"/>
        <n v="3527"/>
        <n v="3579"/>
        <n v="3580"/>
        <n v="3581"/>
        <n v="3582"/>
        <n v="3583"/>
        <n v="3584"/>
        <n v="3585"/>
        <n v="3586"/>
        <n v="3587"/>
        <n v="3588"/>
        <n v="3589"/>
        <n v="3590"/>
        <n v="3591"/>
        <n v="3592"/>
        <n v="3595"/>
        <n v="3596"/>
        <n v="3599"/>
        <n v="3600"/>
        <n v="3601"/>
        <n v="3602"/>
        <n v="3603"/>
        <n v="3604"/>
        <n v="3605"/>
        <n v="3606"/>
        <n v="3607"/>
        <n v="3608"/>
        <n v="3609"/>
        <n v="3610"/>
        <n v="3611"/>
        <n v="3612"/>
        <n v="3613"/>
        <n v="3614"/>
        <n v="3618"/>
        <n v="3619"/>
        <n v="3620"/>
        <n v="3621"/>
        <n v="3622"/>
        <n v="3623"/>
        <n v="3624"/>
        <n v="3625"/>
        <n v="3626"/>
        <n v="3627"/>
        <n v="3628"/>
        <n v="3629"/>
        <n v="3630"/>
        <n v="3631"/>
        <n v="3632"/>
        <n v="3686"/>
        <n v="3687"/>
        <n v="3688"/>
        <n v="3689"/>
        <n v="3690"/>
        <n v="3691"/>
        <n v="3692"/>
        <n v="3693"/>
        <n v="3694"/>
        <n v="3695"/>
        <n v="3696"/>
        <n v="3697"/>
        <n v="3698"/>
        <n v="3699"/>
        <n v="3700"/>
        <n v="3701"/>
        <n v="3702"/>
        <n v="3703"/>
        <n v="3704"/>
        <n v="3705"/>
        <n v="3706"/>
        <n v="3707"/>
        <n v="3708"/>
        <n v="3709"/>
        <n v="3710"/>
        <n v="3711"/>
        <n v="3712"/>
        <n v="3713"/>
        <n v="3714"/>
        <n v="3715"/>
        <n v="3716"/>
        <n v="3717"/>
        <n v="3718"/>
        <n v="3719"/>
        <n v="3720"/>
        <n v="3721"/>
        <n v="3722"/>
        <n v="3723"/>
        <n v="3724"/>
        <n v="3725"/>
        <n v="3727"/>
        <n v="3736"/>
        <n v="3743"/>
        <n v="3744"/>
        <n v="3745"/>
        <n v="3746"/>
        <n v="3747"/>
        <n v="3801"/>
        <n v="3802"/>
        <n v="3803"/>
        <n v="3804"/>
        <n v="3805"/>
        <n v="3806"/>
        <n v="3807"/>
        <n v="3808"/>
        <n v="3823"/>
        <n v="3824"/>
        <n v="3825"/>
        <n v="3826"/>
        <n v="3827"/>
        <n v="3828"/>
        <n v="3832"/>
        <n v="3833"/>
        <n v="3834"/>
        <n v="3836"/>
        <n v="3837"/>
        <n v="3838"/>
        <n v="3839"/>
        <n v="3840"/>
        <n v="3841"/>
        <n v="3842"/>
        <n v="3843"/>
        <n v="3844"/>
        <n v="3845"/>
        <n v="3846"/>
        <n v="3847"/>
        <n v="3848"/>
        <n v="3849"/>
        <n v="3850"/>
        <n v="3851"/>
        <n v="3852"/>
        <n v="3853"/>
        <n v="3854"/>
        <n v="3855"/>
        <n v="3856"/>
        <n v="3857"/>
        <n v="3858"/>
        <n v="3859"/>
        <n v="3860"/>
        <n v="3861"/>
        <n v="3862"/>
        <n v="3863"/>
        <n v="3864"/>
        <n v="3865"/>
        <n v="3975"/>
        <n v="3976"/>
        <n v="3977"/>
        <n v="3978"/>
        <n v="3979"/>
        <n v="3982"/>
        <n v="3983"/>
        <n v="3984"/>
        <n v="3985"/>
        <n v="3986"/>
        <n v="3987"/>
        <n v="3988"/>
        <n v="3989"/>
        <n v="3990"/>
        <n v="3991"/>
        <n v="3992"/>
        <n v="3993"/>
        <n v="3994"/>
        <n v="3995"/>
        <n v="3996"/>
        <n v="3997"/>
        <n v="3998"/>
        <n v="3999"/>
        <n v="4000"/>
        <n v="4002"/>
        <n v="4025"/>
        <n v="4026"/>
        <n v="4027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058"/>
        <n v="4059"/>
        <n v="4060"/>
        <n v="4156"/>
        <n v="4157"/>
        <n v="4158"/>
        <n v="4159"/>
        <n v="4160"/>
        <n v="4161"/>
        <n v="4162"/>
        <n v="4163"/>
        <n v="4164"/>
        <n v="3528"/>
        <n v="3529"/>
        <n v="3530"/>
        <n v="3531"/>
        <n v="3532"/>
        <n v="3533"/>
        <n v="3534"/>
        <n v="3536"/>
        <n v="3537"/>
        <n v="3538"/>
        <n v="3539"/>
        <n v="3540"/>
        <n v="3541"/>
        <n v="3542"/>
        <n v="3543"/>
        <n v="3544"/>
        <n v="3545"/>
        <n v="3546"/>
        <n v="3547"/>
        <n v="3548"/>
        <n v="3549"/>
        <n v="3550"/>
        <n v="3551"/>
        <n v="3552"/>
        <n v="3553"/>
        <n v="3554"/>
        <n v="3555"/>
        <n v="3556"/>
        <n v="3557"/>
        <n v="3558"/>
        <n v="3559"/>
        <n v="3560"/>
        <n v="3561"/>
        <n v="3562"/>
        <n v="3563"/>
        <n v="3564"/>
        <n v="3565"/>
        <n v="3566"/>
        <n v="3567"/>
        <n v="3571"/>
        <n v="3572"/>
        <n v="3573"/>
        <n v="3574"/>
        <n v="3575"/>
        <n v="3576"/>
        <n v="3577"/>
        <n v="3578"/>
        <n v="3633"/>
        <n v="3634"/>
        <n v="3635"/>
        <n v="3636"/>
        <n v="3637"/>
        <n v="3638"/>
        <n v="3639"/>
        <n v="3640"/>
        <n v="3641"/>
        <n v="3642"/>
        <n v="3643"/>
        <n v="3644"/>
        <n v="3645"/>
        <n v="3646"/>
        <n v="3647"/>
        <n v="3648"/>
        <n v="3649"/>
        <n v="3650"/>
        <n v="3651"/>
        <n v="3652"/>
        <n v="3653"/>
        <n v="3654"/>
        <n v="3655"/>
        <n v="3656"/>
        <n v="3657"/>
        <n v="3658"/>
        <n v="3659"/>
        <n v="3660"/>
        <n v="3661"/>
        <n v="3662"/>
        <n v="3663"/>
        <n v="3669"/>
        <n v="3670"/>
        <n v="3671"/>
        <n v="3673"/>
        <n v="3674"/>
        <n v="3675"/>
        <n v="3676"/>
        <n v="3677"/>
        <n v="3678"/>
        <n v="3679"/>
        <n v="3680"/>
        <n v="3681"/>
        <n v="3682"/>
        <n v="3683"/>
        <n v="3684"/>
        <n v="3685"/>
        <n v="3748"/>
        <n v="3749"/>
        <n v="3750"/>
        <n v="3751"/>
        <n v="3752"/>
        <n v="3753"/>
        <n v="3754"/>
        <n v="3755"/>
        <n v="3756"/>
        <n v="3757"/>
        <n v="3758"/>
        <n v="3759"/>
        <n v="3760"/>
        <n v="3761"/>
        <n v="3762"/>
        <n v="3763"/>
        <n v="3764"/>
        <n v="3765"/>
        <n v="3768"/>
        <n v="3769"/>
        <n v="3770"/>
        <n v="3771"/>
        <n v="3772"/>
        <n v="3773"/>
        <n v="3774"/>
        <n v="3775"/>
        <n v="3776"/>
        <n v="3777"/>
        <n v="3778"/>
        <n v="3784"/>
        <n v="3785"/>
        <n v="3786"/>
        <n v="3787"/>
        <n v="3788"/>
        <n v="3789"/>
        <n v="3790"/>
        <n v="3791"/>
        <n v="3792"/>
        <n v="3793"/>
        <n v="3794"/>
        <n v="3795"/>
        <n v="3796"/>
        <n v="3797"/>
        <n v="3798"/>
        <n v="3799"/>
        <n v="3800"/>
        <n v="90476"/>
        <n v="90477"/>
        <n v="90478"/>
        <n v="90479"/>
        <n v="90480"/>
        <n v="90481"/>
        <n v="90482"/>
        <n v="90483"/>
        <n v="90484"/>
        <n v="90485"/>
        <n v="90486"/>
        <n v="90487"/>
        <n v="90488"/>
        <n v="90489"/>
        <n v="90490"/>
        <n v="90491"/>
        <n v="90492"/>
        <n v="90493"/>
        <n v="90494"/>
        <n v="90495"/>
        <n v="90496"/>
        <n v="90497"/>
        <n v="90498"/>
        <n v="90499"/>
        <n v="90500"/>
        <n v="90501"/>
        <n v="90502"/>
        <n v="90503"/>
        <n v="90504"/>
        <n v="90601"/>
        <n v="90606"/>
        <n v="90607"/>
        <n v="90608"/>
        <n v="90609"/>
        <n v="90610"/>
        <n v="90612"/>
        <n v="90613"/>
        <n v="90614"/>
        <n v="90615"/>
        <n v="3866"/>
        <n v="3867"/>
        <n v="3897"/>
        <n v="3898"/>
        <n v="3899"/>
        <n v="3900"/>
        <n v="3901"/>
        <n v="3902"/>
        <n v="3903"/>
        <n v="3904"/>
        <n v="3905"/>
        <n v="3906"/>
        <n v="3907"/>
        <n v="3908"/>
        <n v="3909"/>
        <n v="3910"/>
        <n v="3911"/>
        <n v="3912"/>
        <n v="3914"/>
        <n v="3915"/>
        <n v="3916"/>
        <n v="3917"/>
        <n v="3918"/>
        <n v="3919"/>
        <n v="3920"/>
        <n v="3921"/>
        <n v="3922"/>
        <n v="3923"/>
        <n v="3924"/>
        <n v="3925"/>
        <n v="3926"/>
        <n v="3927"/>
        <n v="3928"/>
        <n v="3929"/>
        <n v="3930"/>
        <n v="3931"/>
        <n v="3932"/>
        <n v="3933"/>
        <n v="3934"/>
        <n v="3935"/>
        <n v="3936"/>
        <n v="3937"/>
        <n v="3938"/>
        <n v="3939"/>
        <n v="3961"/>
        <n v="3973"/>
        <n v="3974"/>
        <n v="92259"/>
        <n v="92260"/>
        <n v="92261"/>
        <n v="92262"/>
        <n v="92263"/>
        <n v="92264"/>
        <n v="92265"/>
        <n v="92266"/>
        <n v="92267"/>
        <n v="92268"/>
        <n v="92269"/>
        <n v="92270"/>
        <n v="92271"/>
        <n v="92272"/>
        <n v="92273"/>
        <n v="92274"/>
        <n v="92275"/>
        <n v="92276"/>
        <n v="92277"/>
        <n v="92278"/>
        <n v="92279"/>
        <n v="92280"/>
        <n v="92281"/>
        <n v="92282"/>
        <n v="92283"/>
        <n v="92284"/>
        <n v="92325"/>
        <n v="92387"/>
        <n v="92388"/>
        <n v="92389"/>
        <n v="92390"/>
        <n v="92391"/>
        <n v="92392"/>
        <n v="92393"/>
        <n v="92394"/>
        <n v="92395"/>
        <n v="92423"/>
        <n v="92574"/>
        <n v="92575"/>
        <n v="4061"/>
        <n v="4062"/>
        <n v="4063"/>
        <n v="4064"/>
        <n v="4074"/>
        <n v="4078"/>
        <n v="4079"/>
        <n v="4080"/>
        <n v="4081"/>
        <n v="4082"/>
        <n v="4083"/>
        <n v="4084"/>
        <n v="4085"/>
        <n v="4093"/>
        <n v="4094"/>
        <n v="4095"/>
        <n v="4096"/>
        <n v="4097"/>
        <n v="4098"/>
        <n v="4099"/>
        <n v="4100"/>
        <n v="4102"/>
        <n v="4103"/>
        <n v="4104"/>
        <n v="4105"/>
        <n v="4106"/>
        <n v="4122"/>
        <n v="4123"/>
        <n v="4124"/>
        <n v="4125"/>
        <n v="4126"/>
        <n v="4127"/>
        <n v="4128"/>
        <n v="4129"/>
        <n v="4130"/>
        <n v="4131"/>
        <n v="4132"/>
        <n v="4133"/>
        <n v="4134"/>
        <n v="4135"/>
        <n v="4136"/>
        <n v="4137"/>
        <n v="4138"/>
        <n v="4140"/>
        <n v="4141"/>
        <n v="4142"/>
        <n v="4144"/>
        <n v="92810"/>
        <n v="92811"/>
        <n v="92812"/>
        <n v="92813"/>
        <n v="92814"/>
        <n v="92815"/>
        <n v="92816"/>
        <n v="92817"/>
        <n v="92818"/>
        <n v="92819"/>
        <n v="92820"/>
        <n v="92821"/>
        <n v="92822"/>
        <n v="92823"/>
        <n v="92824"/>
        <n v="92825"/>
        <n v="92826"/>
        <n v="92827"/>
        <n v="92928"/>
        <n v="92929"/>
        <n v="92930"/>
        <n v="92931"/>
        <n v="92932"/>
        <n v="92933"/>
        <n v="92934"/>
        <n v="92935"/>
        <n v="92936"/>
        <n v="92937"/>
        <n v="92938"/>
        <n v="92939"/>
        <n v="92940"/>
        <n v="92941"/>
        <n v="92942"/>
        <n v="92943"/>
        <n v="92944"/>
        <n v="92945"/>
        <n v="92946"/>
        <n v="92947"/>
        <n v="92948"/>
        <n v="93209"/>
        <n v="93210"/>
        <n v="93211"/>
        <n v="93212"/>
        <n v="93213"/>
        <n v="93214"/>
        <n v="93215"/>
        <n v="93216"/>
        <n v="93276"/>
        <n v="93277"/>
        <n v="93278"/>
        <n v="93279"/>
        <n v="93280"/>
        <n v="93281"/>
        <n v="93282"/>
        <n v="93283"/>
        <n v="93284"/>
        <n v="93285"/>
        <n v="93286"/>
        <n v="93287"/>
        <n v="93288"/>
        <n v="93289"/>
        <n v="93290"/>
        <n v="93291"/>
        <n v="93292"/>
        <n v="93293"/>
        <n v="93294"/>
        <n v="93295"/>
        <n v="93371"/>
        <n v="93372"/>
        <n v="93373"/>
        <n v="93374"/>
        <n v="93375"/>
        <n v="93376"/>
        <n v="93377"/>
        <n v="93378"/>
        <n v="93379"/>
        <n v="93380"/>
        <n v="93381"/>
        <n v="93588"/>
        <n v="93589"/>
        <n v="93590"/>
        <n v="93591"/>
        <n v="93592"/>
        <n v="93593"/>
        <n v="93594"/>
        <n v="93595"/>
        <n v="93596"/>
        <n v="93656"/>
        <n v="93657"/>
        <n v="93658"/>
        <n v="93661"/>
        <n v="93662"/>
        <n v="93663"/>
        <n v="93664"/>
        <n v="93665"/>
        <n v="93666"/>
        <n v="93667"/>
        <n v="93668"/>
        <n v="93669"/>
        <n v="93722"/>
        <n v="93723"/>
        <n v="93724"/>
        <n v="93725"/>
        <n v="93726"/>
        <n v="93727"/>
        <n v="93728"/>
        <n v="93729"/>
        <n v="93730"/>
        <n v="93731"/>
        <n v="93732"/>
        <n v="93733"/>
        <n v="93734"/>
        <n v="93735"/>
        <n v="93736"/>
        <n v="93737"/>
        <n v="93774"/>
        <n v="90243"/>
        <n v="90244"/>
        <n v="90245"/>
        <n v="90246"/>
        <n v="90247"/>
        <n v="90248"/>
        <n v="90374"/>
        <n v="90375"/>
        <n v="90376"/>
        <n v="90473"/>
        <n v="90559"/>
        <n v="90602"/>
        <n v="90603"/>
        <n v="90763"/>
        <n v="90764"/>
        <n v="90765"/>
        <n v="90766"/>
        <n v="90767"/>
        <n v="90768"/>
        <n v="90769"/>
        <n v="90770"/>
        <n v="90898"/>
        <n v="91032"/>
        <n v="91033"/>
        <n v="91034"/>
        <n v="91063"/>
        <n v="91064"/>
        <n v="91065"/>
        <n v="91066"/>
        <n v="91067"/>
        <n v="91293"/>
        <n v="91361"/>
        <n v="91362"/>
        <n v="91395"/>
        <n v="91396"/>
        <n v="91397"/>
        <n v="91398"/>
        <n v="91399"/>
        <n v="91400"/>
        <n v="91461"/>
        <n v="91463"/>
        <n v="91500"/>
        <n v="91501"/>
        <n v="91502"/>
        <n v="93032"/>
        <n v="93119"/>
        <n v="93120"/>
        <n v="93121"/>
        <n v="93122"/>
        <n v="93123"/>
        <n v="93124"/>
        <n v="93125"/>
        <n v="93126"/>
        <n v="93183"/>
        <n v="93184"/>
        <n v="93185"/>
        <n v="93297"/>
        <n v="93301"/>
        <n v="93302"/>
        <n v="93303"/>
        <n v="93416"/>
        <n v="93421"/>
        <n v="93491"/>
        <n v="93492"/>
        <n v="93493"/>
        <n v="93494"/>
        <n v="93541"/>
        <n v="93542"/>
        <n v="93543"/>
        <n v="93578"/>
        <n v="93579"/>
        <n v="93598"/>
        <n v="93627"/>
        <n v="93646"/>
        <n v="93670"/>
        <n v="93702"/>
        <n v="93703"/>
        <n v="93749"/>
        <n v="93750"/>
        <n v="93800"/>
        <n v="93801"/>
        <n v="93802"/>
        <n v="93805"/>
        <n v="93806"/>
        <n v="93857"/>
        <n v="93922"/>
        <n v="93931"/>
        <n v="93932"/>
        <n v="90616"/>
        <n v="90617"/>
        <n v="90618"/>
        <n v="90619"/>
        <n v="90620"/>
        <n v="90621"/>
        <n v="90622"/>
        <n v="90623"/>
        <n v="90624"/>
        <n v="90625"/>
        <n v="90626"/>
        <n v="90627"/>
        <n v="90628"/>
        <n v="90772"/>
        <n v="90773"/>
        <n v="90774"/>
        <n v="90775"/>
        <n v="90776"/>
        <n v="90777"/>
        <n v="90778"/>
        <n v="90779"/>
        <n v="90780"/>
        <n v="90781"/>
        <n v="90782"/>
        <n v="90783"/>
        <n v="90784"/>
        <n v="90785"/>
        <n v="90786"/>
        <n v="90787"/>
        <n v="90788"/>
        <n v="90789"/>
        <n v="90790"/>
        <n v="90791"/>
        <n v="90830"/>
        <n v="90831"/>
        <n v="90832"/>
        <n v="90833"/>
        <n v="90834"/>
        <n v="90835"/>
        <n v="90836"/>
        <n v="90837"/>
        <n v="90838"/>
        <n v="90839"/>
        <n v="90840"/>
        <n v="90841"/>
        <n v="90842"/>
        <n v="90843"/>
        <n v="90844"/>
        <n v="90845"/>
        <n v="90846"/>
        <n v="90847"/>
        <n v="90848"/>
        <n v="90849"/>
        <n v="90850"/>
        <n v="90943"/>
        <n v="90944"/>
        <n v="90945"/>
        <n v="90946"/>
        <n v="90947"/>
        <n v="90948"/>
        <n v="90949"/>
        <n v="90950"/>
        <n v="90951"/>
        <n v="90952"/>
        <n v="90953"/>
        <n v="90954"/>
        <n v="90955"/>
        <n v="90956"/>
        <n v="90957"/>
        <n v="91068"/>
        <n v="91069"/>
        <n v="91070"/>
        <n v="91071"/>
        <n v="91072"/>
        <n v="91073"/>
        <n v="91074"/>
        <n v="91075"/>
        <n v="3332"/>
        <n v="3333"/>
        <n v="3334"/>
        <n v="3335"/>
        <n v="3336"/>
        <n v="3337"/>
        <n v="3338"/>
        <n v="3339"/>
        <n v="3340"/>
        <n v="3341"/>
        <n v="3342"/>
        <n v="3343"/>
        <n v="3344"/>
        <n v="3345"/>
        <n v="3346"/>
        <n v="3347"/>
        <n v="3348"/>
        <n v="3349"/>
        <n v="3350"/>
        <n v="3351"/>
        <n v="3352"/>
        <n v="3353"/>
        <n v="3354"/>
        <n v="3355"/>
        <n v="3356"/>
        <n v="3357"/>
        <n v="3358"/>
        <n v="3359"/>
        <n v="3360"/>
        <n v="3361"/>
        <n v="3362"/>
        <n v="3363"/>
        <n v="3364"/>
        <n v="3365"/>
        <n v="3366"/>
        <n v="3367"/>
        <n v="3368"/>
        <n v="3369"/>
        <n v="3370"/>
        <n v="3371"/>
        <n v="3372"/>
        <n v="3373"/>
        <n v="3374"/>
        <n v="3375"/>
        <n v="3376"/>
        <n v="3377"/>
        <n v="3378"/>
        <n v="91353"/>
        <n v="91354"/>
        <n v="91355"/>
        <n v="91356"/>
        <n v="91357"/>
        <n v="91358"/>
        <n v="91359"/>
        <n v="91465"/>
        <n v="91466"/>
        <n v="91467"/>
        <n v="91468"/>
        <n v="91469"/>
        <n v="91470"/>
        <n v="91471"/>
        <n v="91472"/>
        <n v="91473"/>
        <n v="91474"/>
        <n v="91475"/>
        <n v="91476"/>
        <n v="91477"/>
        <n v="91478"/>
        <n v="91479"/>
        <n v="91480"/>
        <n v="91481"/>
        <n v="91482"/>
        <n v="91483"/>
        <n v="91484"/>
        <n v="91485"/>
        <n v="91486"/>
        <n v="91487"/>
        <n v="91488"/>
        <n v="91489"/>
        <n v="91490"/>
        <n v="91491"/>
        <n v="91492"/>
        <n v="91493"/>
        <n v="91494"/>
        <n v="91495"/>
        <n v="91496"/>
        <n v="3426"/>
        <n v="3427"/>
        <n v="3428"/>
        <n v="3429"/>
        <n v="3430"/>
        <n v="3431"/>
        <n v="3432"/>
        <n v="3433"/>
        <n v="3434"/>
        <n v="3435"/>
        <n v="3436"/>
        <n v="3437"/>
        <n v="3438"/>
        <n v="3439"/>
        <n v="3440"/>
        <n v="3441"/>
        <n v="3442"/>
        <n v="3443"/>
        <n v="3444"/>
        <n v="3445"/>
        <n v="3446"/>
        <n v="3447"/>
        <n v="3448"/>
        <n v="3449"/>
        <n v="3450"/>
        <n v="3451"/>
        <n v="3452"/>
        <n v="3453"/>
        <n v="3454"/>
        <n v="3455"/>
        <n v="3462"/>
        <n v="3463"/>
        <n v="3464"/>
        <n v="3465"/>
        <n v="3466"/>
        <n v="3467"/>
        <n v="3468"/>
        <n v="3469"/>
        <n v="3470"/>
        <n v="3471"/>
        <n v="3472"/>
        <n v="3473"/>
        <n v="3474"/>
        <n v="3475"/>
        <n v="3476"/>
        <n v="3477"/>
        <n v="3478"/>
        <n v="91834"/>
        <n v="91835"/>
        <n v="91836"/>
        <n v="91837"/>
        <n v="91838"/>
        <n v="91839"/>
        <n v="91840"/>
        <n v="91841"/>
        <n v="91842"/>
        <n v="91843"/>
        <n v="91844"/>
        <n v="91845"/>
        <n v="91846"/>
        <n v="91847"/>
        <n v="91848"/>
        <n v="91849"/>
        <n v="91850"/>
        <n v="91851"/>
        <n v="91852"/>
        <n v="91853"/>
        <n v="91854"/>
        <n v="91954"/>
        <n v="91955"/>
        <n v="91956"/>
        <n v="91957"/>
        <n v="91959"/>
        <n v="91960"/>
        <n v="91961"/>
        <n v="91962"/>
        <n v="91963"/>
        <n v="91964"/>
        <n v="91965"/>
        <n v="91966"/>
        <n v="91967"/>
        <n v="91968"/>
        <n v="91969"/>
        <n v="91970"/>
        <n v="91971"/>
        <n v="92126"/>
        <n v="90083"/>
        <n v="90084"/>
        <n v="90085"/>
        <n v="90086"/>
        <n v="90087"/>
        <n v="90088"/>
        <n v="90089"/>
        <n v="90092"/>
        <n v="90093"/>
        <n v="90153"/>
        <n v="90154"/>
        <n v="90155"/>
        <n v="90156"/>
        <n v="90157"/>
        <n v="90158"/>
        <n v="90159"/>
        <n v="90160"/>
        <n v="90161"/>
        <n v="90162"/>
        <n v="90163"/>
        <n v="90164"/>
        <n v="90165"/>
        <n v="90166"/>
        <n v="90167"/>
        <n v="90168"/>
        <n v="90169"/>
        <n v="90170"/>
        <n v="90171"/>
        <n v="90172"/>
        <n v="90173"/>
        <n v="90174"/>
        <n v="90271"/>
        <n v="90272"/>
        <n v="90273"/>
        <n v="90274"/>
        <n v="90275"/>
        <n v="90276"/>
        <n v="90277"/>
        <n v="90278"/>
      </sharedItems>
    </cacheField>
    <cacheField name="AÑO" numFmtId="0">
      <sharedItems containsSemiMixedTypes="0" containsString="0" containsNumber="1" containsInteger="1" minValue="2018" maxValue="2018" count="1">
        <n v="2018"/>
      </sharedItems>
    </cacheField>
    <cacheField name="MES" numFmtId="0">
      <sharedItems count="3">
        <s v="MARZO"/>
        <s v="ABRIL"/>
        <s v="MAYO"/>
      </sharedItems>
    </cacheField>
    <cacheField name="CANT RENDIDAS" numFmtId="0">
      <sharedItems containsSemiMixedTypes="0" containsString="0" containsNumber="1" containsInteger="1" minValue="0" maxValue="1"/>
    </cacheField>
    <cacheField name="TOTAL" numFmtId="0">
      <sharedItems containsSemiMixedTypes="0" containsString="0" containsNumber="1" containsInteger="1" minValue="1" maxValue="1"/>
    </cacheField>
    <cacheField name="PENDIENTES" numFmtId="0" formula="TOTAL-'CANT RENDIDAS'" databaseField="0"/>
  </cacheFields>
  <extLst>
    <ext xmlns:x14="http://schemas.microsoft.com/office/spreadsheetml/2009/9/main" uri="{725AE2AE-9491-48be-B2B4-4EB974FC3084}">
      <x14:pivotCacheDefinition pivotCacheId="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99">
  <r>
    <n v="1"/>
    <n v="3"/>
    <x v="0"/>
    <s v="RENDIDA"/>
    <s v="2018-03-06"/>
    <x v="0"/>
    <x v="0"/>
    <x v="0"/>
    <n v="1"/>
    <n v="1"/>
  </r>
  <r>
    <n v="1"/>
    <n v="3"/>
    <x v="0"/>
    <s v="RENDIDA"/>
    <s v="2018-03-06"/>
    <x v="1"/>
    <x v="0"/>
    <x v="0"/>
    <n v="1"/>
    <n v="1"/>
  </r>
  <r>
    <n v="1"/>
    <n v="3"/>
    <x v="0"/>
    <s v="RENDIDA"/>
    <s v="2018-03-06"/>
    <x v="2"/>
    <x v="0"/>
    <x v="0"/>
    <n v="1"/>
    <n v="1"/>
  </r>
  <r>
    <n v="1"/>
    <n v="3"/>
    <x v="0"/>
    <s v="RENDIDA"/>
    <s v="2018-03-06"/>
    <x v="3"/>
    <x v="0"/>
    <x v="0"/>
    <n v="1"/>
    <n v="1"/>
  </r>
  <r>
    <n v="1"/>
    <n v="3"/>
    <x v="0"/>
    <s v="RENDIDA"/>
    <s v="2018-03-06"/>
    <x v="4"/>
    <x v="0"/>
    <x v="0"/>
    <n v="1"/>
    <n v="1"/>
  </r>
  <r>
    <n v="1"/>
    <n v="3"/>
    <x v="0"/>
    <s v="RENDIDA"/>
    <s v="2018-03-06"/>
    <x v="5"/>
    <x v="0"/>
    <x v="0"/>
    <n v="1"/>
    <n v="1"/>
  </r>
  <r>
    <n v="1"/>
    <n v="3"/>
    <x v="0"/>
    <s v="RENDIDA"/>
    <s v="2018-03-06"/>
    <x v="6"/>
    <x v="0"/>
    <x v="0"/>
    <n v="1"/>
    <n v="1"/>
  </r>
  <r>
    <n v="1"/>
    <n v="3"/>
    <x v="0"/>
    <s v="RENDIDA"/>
    <s v="2018-03-06"/>
    <x v="7"/>
    <x v="0"/>
    <x v="0"/>
    <n v="1"/>
    <n v="1"/>
  </r>
  <r>
    <n v="1"/>
    <n v="3"/>
    <x v="0"/>
    <s v="RENDIDA"/>
    <s v="2018-03-06"/>
    <x v="8"/>
    <x v="0"/>
    <x v="0"/>
    <n v="1"/>
    <n v="1"/>
  </r>
  <r>
    <n v="1"/>
    <n v="3"/>
    <x v="0"/>
    <s v="RENDIDA"/>
    <s v="2018-03-06"/>
    <x v="9"/>
    <x v="0"/>
    <x v="0"/>
    <n v="1"/>
    <n v="1"/>
  </r>
  <r>
    <n v="1"/>
    <n v="3"/>
    <x v="0"/>
    <s v="RENDIDA"/>
    <s v="2018-03-06"/>
    <x v="10"/>
    <x v="0"/>
    <x v="0"/>
    <n v="1"/>
    <n v="1"/>
  </r>
  <r>
    <n v="1"/>
    <n v="3"/>
    <x v="0"/>
    <s v="RENDIDA"/>
    <s v="2018-03-06"/>
    <x v="11"/>
    <x v="0"/>
    <x v="0"/>
    <n v="1"/>
    <n v="1"/>
  </r>
  <r>
    <n v="1"/>
    <n v="3"/>
    <x v="0"/>
    <s v="RENDIDA"/>
    <s v="2018-03-06"/>
    <x v="12"/>
    <x v="0"/>
    <x v="0"/>
    <n v="1"/>
    <n v="1"/>
  </r>
  <r>
    <n v="1"/>
    <n v="3"/>
    <x v="0"/>
    <s v="RENDIDA"/>
    <s v="2018-03-06"/>
    <x v="13"/>
    <x v="0"/>
    <x v="0"/>
    <n v="1"/>
    <n v="1"/>
  </r>
  <r>
    <n v="1"/>
    <n v="3"/>
    <x v="0"/>
    <s v="RENDIDA"/>
    <s v="2018-03-07"/>
    <x v="14"/>
    <x v="0"/>
    <x v="0"/>
    <n v="1"/>
    <n v="1"/>
  </r>
  <r>
    <n v="1"/>
    <n v="3"/>
    <x v="0"/>
    <s v="RENDIDA"/>
    <s v="2018-03-07"/>
    <x v="15"/>
    <x v="0"/>
    <x v="0"/>
    <n v="1"/>
    <n v="1"/>
  </r>
  <r>
    <n v="1"/>
    <n v="3"/>
    <x v="0"/>
    <s v="RENDIDA"/>
    <s v="2018-03-07"/>
    <x v="16"/>
    <x v="0"/>
    <x v="0"/>
    <n v="1"/>
    <n v="1"/>
  </r>
  <r>
    <n v="1"/>
    <n v="3"/>
    <x v="0"/>
    <s v="RENDIDA"/>
    <s v="2018-03-07"/>
    <x v="17"/>
    <x v="0"/>
    <x v="0"/>
    <n v="1"/>
    <n v="1"/>
  </r>
  <r>
    <n v="1"/>
    <n v="3"/>
    <x v="0"/>
    <s v="RENDIDA"/>
    <s v="2018-03-07"/>
    <x v="18"/>
    <x v="0"/>
    <x v="0"/>
    <n v="1"/>
    <n v="1"/>
  </r>
  <r>
    <n v="1"/>
    <n v="3"/>
    <x v="0"/>
    <s v="RENDIDA"/>
    <s v="2018-03-07"/>
    <x v="19"/>
    <x v="0"/>
    <x v="0"/>
    <n v="1"/>
    <n v="1"/>
  </r>
  <r>
    <n v="1"/>
    <n v="3"/>
    <x v="0"/>
    <s v="RENDIDA"/>
    <s v="2018-03-07"/>
    <x v="20"/>
    <x v="0"/>
    <x v="0"/>
    <n v="1"/>
    <n v="1"/>
  </r>
  <r>
    <n v="1"/>
    <n v="3"/>
    <x v="0"/>
    <s v="RENDIDA"/>
    <s v="2018-03-07"/>
    <x v="21"/>
    <x v="0"/>
    <x v="0"/>
    <n v="1"/>
    <n v="1"/>
  </r>
  <r>
    <n v="1"/>
    <n v="3"/>
    <x v="0"/>
    <s v="RENDIDA"/>
    <s v="2018-03-07"/>
    <x v="22"/>
    <x v="0"/>
    <x v="0"/>
    <n v="1"/>
    <n v="1"/>
  </r>
  <r>
    <n v="1"/>
    <n v="3"/>
    <x v="0"/>
    <s v="RENDIDA"/>
    <s v="2018-03-07"/>
    <x v="23"/>
    <x v="0"/>
    <x v="0"/>
    <n v="1"/>
    <n v="1"/>
  </r>
  <r>
    <n v="1"/>
    <n v="3"/>
    <x v="0"/>
    <s v="RENDIDA"/>
    <s v="2018-03-07"/>
    <x v="24"/>
    <x v="0"/>
    <x v="0"/>
    <n v="1"/>
    <n v="1"/>
  </r>
  <r>
    <n v="1"/>
    <n v="3"/>
    <x v="0"/>
    <s v="RENDIDA"/>
    <s v="2018-03-07"/>
    <x v="25"/>
    <x v="0"/>
    <x v="0"/>
    <n v="1"/>
    <n v="1"/>
  </r>
  <r>
    <n v="1"/>
    <n v="3"/>
    <x v="0"/>
    <s v="RENDIDA"/>
    <s v="2018-03-08"/>
    <x v="26"/>
    <x v="0"/>
    <x v="0"/>
    <n v="1"/>
    <n v="1"/>
  </r>
  <r>
    <n v="1"/>
    <n v="3"/>
    <x v="0"/>
    <s v="RENDIDA"/>
    <s v="2018-03-08"/>
    <x v="27"/>
    <x v="0"/>
    <x v="0"/>
    <n v="1"/>
    <n v="1"/>
  </r>
  <r>
    <n v="1"/>
    <n v="3"/>
    <x v="0"/>
    <s v="RENDIDA"/>
    <s v="2018-03-08"/>
    <x v="28"/>
    <x v="0"/>
    <x v="0"/>
    <n v="1"/>
    <n v="1"/>
  </r>
  <r>
    <n v="1"/>
    <n v="3"/>
    <x v="0"/>
    <s v="RENDIDA"/>
    <s v="2018-03-08"/>
    <x v="29"/>
    <x v="0"/>
    <x v="0"/>
    <n v="1"/>
    <n v="1"/>
  </r>
  <r>
    <n v="1"/>
    <n v="3"/>
    <x v="0"/>
    <s v="RENDIDA"/>
    <s v="2018-03-08"/>
    <x v="30"/>
    <x v="0"/>
    <x v="0"/>
    <n v="1"/>
    <n v="1"/>
  </r>
  <r>
    <n v="1"/>
    <n v="3"/>
    <x v="0"/>
    <s v="RENDIDA"/>
    <s v="2018-03-08"/>
    <x v="31"/>
    <x v="0"/>
    <x v="0"/>
    <n v="1"/>
    <n v="1"/>
  </r>
  <r>
    <n v="1"/>
    <n v="3"/>
    <x v="0"/>
    <s v="RENDIDA"/>
    <s v="2018-03-08"/>
    <x v="32"/>
    <x v="0"/>
    <x v="0"/>
    <n v="1"/>
    <n v="1"/>
  </r>
  <r>
    <n v="1"/>
    <n v="3"/>
    <x v="0"/>
    <s v="RENDIDA"/>
    <s v="2018-03-08"/>
    <x v="33"/>
    <x v="0"/>
    <x v="0"/>
    <n v="1"/>
    <n v="1"/>
  </r>
  <r>
    <n v="1"/>
    <n v="3"/>
    <x v="0"/>
    <s v="RENDIDA"/>
    <s v="2018-03-08"/>
    <x v="34"/>
    <x v="0"/>
    <x v="0"/>
    <n v="1"/>
    <n v="1"/>
  </r>
  <r>
    <n v="1"/>
    <n v="3"/>
    <x v="0"/>
    <s v="RENDIDA"/>
    <s v="2018-03-08"/>
    <x v="35"/>
    <x v="0"/>
    <x v="0"/>
    <n v="1"/>
    <n v="1"/>
  </r>
  <r>
    <n v="1"/>
    <n v="3"/>
    <x v="0"/>
    <s v="RENDIDA"/>
    <s v="2018-03-08"/>
    <x v="36"/>
    <x v="0"/>
    <x v="0"/>
    <n v="1"/>
    <n v="1"/>
  </r>
  <r>
    <n v="1"/>
    <n v="3"/>
    <x v="0"/>
    <s v="RENDIDA"/>
    <s v="2018-03-09"/>
    <x v="37"/>
    <x v="0"/>
    <x v="0"/>
    <n v="1"/>
    <n v="1"/>
  </r>
  <r>
    <n v="1"/>
    <n v="3"/>
    <x v="0"/>
    <s v="RENDIDA"/>
    <s v="2018-03-09"/>
    <x v="38"/>
    <x v="0"/>
    <x v="0"/>
    <n v="1"/>
    <n v="1"/>
  </r>
  <r>
    <n v="1"/>
    <n v="3"/>
    <x v="0"/>
    <s v="RENDIDA"/>
    <s v="2018-03-22"/>
    <x v="39"/>
    <x v="0"/>
    <x v="0"/>
    <n v="1"/>
    <n v="1"/>
  </r>
  <r>
    <n v="1"/>
    <n v="3"/>
    <x v="0"/>
    <s v="RENDIDA"/>
    <s v="2018-03-22"/>
    <x v="40"/>
    <x v="0"/>
    <x v="0"/>
    <n v="1"/>
    <n v="1"/>
  </r>
  <r>
    <n v="1"/>
    <n v="3"/>
    <x v="0"/>
    <s v="RENDIDA"/>
    <s v="2018-03-22"/>
    <x v="41"/>
    <x v="0"/>
    <x v="0"/>
    <n v="1"/>
    <n v="1"/>
  </r>
  <r>
    <n v="1"/>
    <n v="3"/>
    <x v="0"/>
    <s v="RENDIDA"/>
    <s v="2018-03-22"/>
    <x v="42"/>
    <x v="0"/>
    <x v="0"/>
    <n v="1"/>
    <n v="1"/>
  </r>
  <r>
    <n v="1"/>
    <n v="3"/>
    <x v="0"/>
    <s v="RENDIDA"/>
    <s v="2018-03-22"/>
    <x v="43"/>
    <x v="0"/>
    <x v="0"/>
    <n v="1"/>
    <n v="1"/>
  </r>
  <r>
    <n v="1"/>
    <n v="3"/>
    <x v="0"/>
    <s v="RENDIDA"/>
    <s v="2018-03-22"/>
    <x v="44"/>
    <x v="0"/>
    <x v="0"/>
    <n v="1"/>
    <n v="1"/>
  </r>
  <r>
    <n v="1"/>
    <n v="3"/>
    <x v="0"/>
    <s v="RENDIDA"/>
    <s v="2018-03-22"/>
    <x v="45"/>
    <x v="0"/>
    <x v="0"/>
    <n v="1"/>
    <n v="1"/>
  </r>
  <r>
    <n v="1"/>
    <n v="3"/>
    <x v="0"/>
    <s v="RENDIDA"/>
    <s v="2018-03-22"/>
    <x v="46"/>
    <x v="0"/>
    <x v="0"/>
    <n v="1"/>
    <n v="1"/>
  </r>
  <r>
    <n v="1"/>
    <n v="3"/>
    <x v="0"/>
    <s v="RENDIDA"/>
    <s v="2018-03-22"/>
    <x v="47"/>
    <x v="0"/>
    <x v="0"/>
    <n v="1"/>
    <n v="1"/>
  </r>
  <r>
    <n v="1"/>
    <n v="3"/>
    <x v="0"/>
    <s v="RENDIDA"/>
    <s v="2018-03-22"/>
    <x v="48"/>
    <x v="0"/>
    <x v="0"/>
    <n v="1"/>
    <n v="1"/>
  </r>
  <r>
    <n v="1"/>
    <n v="3"/>
    <x v="0"/>
    <s v="RENDIDA"/>
    <s v="2018-03-23"/>
    <x v="49"/>
    <x v="0"/>
    <x v="0"/>
    <n v="1"/>
    <n v="1"/>
  </r>
  <r>
    <n v="1"/>
    <n v="3"/>
    <x v="0"/>
    <s v="RENDIDA"/>
    <s v="2018-03-23"/>
    <x v="50"/>
    <x v="0"/>
    <x v="0"/>
    <n v="1"/>
    <n v="1"/>
  </r>
  <r>
    <n v="1"/>
    <n v="3"/>
    <x v="0"/>
    <s v="RENDIDA"/>
    <s v="2018-03-23"/>
    <x v="51"/>
    <x v="0"/>
    <x v="0"/>
    <n v="1"/>
    <n v="1"/>
  </r>
  <r>
    <n v="1"/>
    <n v="3"/>
    <x v="0"/>
    <s v="RENDIDA"/>
    <s v="2018-03-23"/>
    <x v="52"/>
    <x v="0"/>
    <x v="0"/>
    <n v="1"/>
    <n v="1"/>
  </r>
  <r>
    <n v="1"/>
    <n v="3"/>
    <x v="0"/>
    <s v="RENDIDA"/>
    <s v="2018-03-23"/>
    <x v="53"/>
    <x v="0"/>
    <x v="0"/>
    <n v="1"/>
    <n v="1"/>
  </r>
  <r>
    <n v="1"/>
    <n v="3"/>
    <x v="0"/>
    <s v="RENDIDA"/>
    <s v="2018-03-23"/>
    <x v="54"/>
    <x v="0"/>
    <x v="0"/>
    <n v="1"/>
    <n v="1"/>
  </r>
  <r>
    <n v="1"/>
    <n v="3"/>
    <x v="0"/>
    <s v="RENDIDA"/>
    <s v="2018-03-23"/>
    <x v="55"/>
    <x v="0"/>
    <x v="0"/>
    <n v="1"/>
    <n v="1"/>
  </r>
  <r>
    <n v="1"/>
    <n v="3"/>
    <x v="0"/>
    <s v="RENDIDA"/>
    <s v="2018-03-23"/>
    <x v="56"/>
    <x v="0"/>
    <x v="0"/>
    <n v="1"/>
    <n v="1"/>
  </r>
  <r>
    <n v="1"/>
    <n v="3"/>
    <x v="0"/>
    <s v="RENDIDA"/>
    <s v="2018-03-23"/>
    <x v="57"/>
    <x v="0"/>
    <x v="0"/>
    <n v="1"/>
    <n v="1"/>
  </r>
  <r>
    <n v="1"/>
    <n v="3"/>
    <x v="0"/>
    <s v="RENDIDA"/>
    <s v="2018-03-23"/>
    <x v="58"/>
    <x v="0"/>
    <x v="0"/>
    <n v="1"/>
    <n v="1"/>
  </r>
  <r>
    <n v="1"/>
    <n v="3"/>
    <x v="0"/>
    <s v="RENDIDA"/>
    <s v="2018-03-23"/>
    <x v="59"/>
    <x v="0"/>
    <x v="0"/>
    <n v="1"/>
    <n v="1"/>
  </r>
  <r>
    <n v="1"/>
    <n v="3"/>
    <x v="0"/>
    <s v="RENDIDA"/>
    <s v="2018-03-23"/>
    <x v="60"/>
    <x v="0"/>
    <x v="0"/>
    <n v="1"/>
    <n v="1"/>
  </r>
  <r>
    <n v="1"/>
    <n v="3"/>
    <x v="0"/>
    <s v="RENDIDA"/>
    <s v="2018-03-23"/>
    <x v="61"/>
    <x v="0"/>
    <x v="0"/>
    <n v="1"/>
    <n v="1"/>
  </r>
  <r>
    <n v="1"/>
    <n v="3"/>
    <x v="0"/>
    <s v="RENDIDA"/>
    <s v="2018-03-23"/>
    <x v="62"/>
    <x v="0"/>
    <x v="0"/>
    <n v="1"/>
    <n v="1"/>
  </r>
  <r>
    <n v="1"/>
    <n v="3"/>
    <x v="0"/>
    <s v="RENDIDA"/>
    <s v="2018-03-23"/>
    <x v="63"/>
    <x v="0"/>
    <x v="0"/>
    <n v="1"/>
    <n v="1"/>
  </r>
  <r>
    <n v="1"/>
    <n v="3"/>
    <x v="0"/>
    <s v="RENDIDA"/>
    <s v="2018-03-23"/>
    <x v="64"/>
    <x v="0"/>
    <x v="0"/>
    <n v="1"/>
    <n v="1"/>
  </r>
  <r>
    <n v="1"/>
    <n v="3"/>
    <x v="0"/>
    <s v="RENDIDA"/>
    <s v="2018-03-23"/>
    <x v="65"/>
    <x v="0"/>
    <x v="0"/>
    <n v="1"/>
    <n v="1"/>
  </r>
  <r>
    <n v="1"/>
    <n v="3"/>
    <x v="0"/>
    <s v="RENDIDA"/>
    <s v="2018-03-23"/>
    <x v="66"/>
    <x v="0"/>
    <x v="0"/>
    <n v="1"/>
    <n v="1"/>
  </r>
  <r>
    <n v="1"/>
    <n v="3"/>
    <x v="0"/>
    <s v="RENDIDA"/>
    <s v="2018-03-23"/>
    <x v="67"/>
    <x v="0"/>
    <x v="0"/>
    <n v="1"/>
    <n v="1"/>
  </r>
  <r>
    <n v="1"/>
    <n v="3"/>
    <x v="0"/>
    <s v="RENDIDA"/>
    <s v="2018-03-23"/>
    <x v="68"/>
    <x v="0"/>
    <x v="0"/>
    <n v="1"/>
    <n v="1"/>
  </r>
  <r>
    <n v="1"/>
    <n v="3"/>
    <x v="0"/>
    <s v="RENDIDA"/>
    <s v="2018-03-23"/>
    <x v="69"/>
    <x v="0"/>
    <x v="0"/>
    <n v="1"/>
    <n v="1"/>
  </r>
  <r>
    <n v="1"/>
    <n v="3"/>
    <x v="0"/>
    <s v="RENDIDA"/>
    <s v="2018-03-23"/>
    <x v="70"/>
    <x v="0"/>
    <x v="0"/>
    <n v="1"/>
    <n v="1"/>
  </r>
  <r>
    <n v="1"/>
    <n v="3"/>
    <x v="0"/>
    <s v="RENDIDA"/>
    <s v="2018-03-23"/>
    <x v="71"/>
    <x v="0"/>
    <x v="0"/>
    <n v="1"/>
    <n v="1"/>
  </r>
  <r>
    <n v="1"/>
    <n v="3"/>
    <x v="0"/>
    <s v="RENDIDA"/>
    <s v="2018-03-23"/>
    <x v="72"/>
    <x v="0"/>
    <x v="0"/>
    <n v="1"/>
    <n v="1"/>
  </r>
  <r>
    <n v="1"/>
    <n v="3"/>
    <x v="0"/>
    <s v="RENDIDA"/>
    <s v="2018-03-23"/>
    <x v="73"/>
    <x v="0"/>
    <x v="0"/>
    <n v="1"/>
    <n v="1"/>
  </r>
  <r>
    <n v="1"/>
    <n v="3"/>
    <x v="0"/>
    <s v="RENDIDA"/>
    <s v="2018-03-23"/>
    <x v="74"/>
    <x v="0"/>
    <x v="0"/>
    <n v="1"/>
    <n v="1"/>
  </r>
  <r>
    <n v="1"/>
    <n v="3"/>
    <x v="0"/>
    <s v="RENDIDA"/>
    <s v="2018-03-23"/>
    <x v="75"/>
    <x v="0"/>
    <x v="0"/>
    <n v="1"/>
    <n v="1"/>
  </r>
  <r>
    <n v="1"/>
    <n v="3"/>
    <x v="0"/>
    <s v="RENDIDA"/>
    <s v="2018-03-23"/>
    <x v="76"/>
    <x v="0"/>
    <x v="0"/>
    <n v="1"/>
    <n v="1"/>
  </r>
  <r>
    <n v="1"/>
    <n v="3"/>
    <x v="0"/>
    <s v="RENDIDA"/>
    <s v="2018-03-27"/>
    <x v="77"/>
    <x v="0"/>
    <x v="0"/>
    <n v="1"/>
    <n v="1"/>
  </r>
  <r>
    <n v="1"/>
    <n v="3"/>
    <x v="0"/>
    <s v="RENDIDA"/>
    <s v="2018-03-29"/>
    <x v="78"/>
    <x v="0"/>
    <x v="0"/>
    <n v="1"/>
    <n v="1"/>
  </r>
  <r>
    <n v="1"/>
    <n v="3"/>
    <x v="0"/>
    <s v="RENDIDA"/>
    <s v="2018-04-03"/>
    <x v="79"/>
    <x v="0"/>
    <x v="1"/>
    <n v="1"/>
    <n v="1"/>
  </r>
  <r>
    <n v="1"/>
    <n v="3"/>
    <x v="0"/>
    <s v="RENDIDA"/>
    <s v="2018-04-03"/>
    <x v="80"/>
    <x v="0"/>
    <x v="1"/>
    <n v="1"/>
    <n v="1"/>
  </r>
  <r>
    <n v="1"/>
    <n v="3"/>
    <x v="0"/>
    <s v="RENDIDA"/>
    <s v="2018-04-03"/>
    <x v="81"/>
    <x v="0"/>
    <x v="1"/>
    <n v="1"/>
    <n v="1"/>
  </r>
  <r>
    <n v="1"/>
    <n v="3"/>
    <x v="0"/>
    <s v="RENDIDA"/>
    <s v="2018-04-03"/>
    <x v="82"/>
    <x v="0"/>
    <x v="1"/>
    <n v="1"/>
    <n v="1"/>
  </r>
  <r>
    <n v="1"/>
    <n v="3"/>
    <x v="0"/>
    <s v="RENDIDA"/>
    <s v="2018-04-03"/>
    <x v="83"/>
    <x v="0"/>
    <x v="1"/>
    <n v="1"/>
    <n v="1"/>
  </r>
  <r>
    <n v="1"/>
    <n v="3"/>
    <x v="0"/>
    <s v="RENDIDA"/>
    <s v="2018-04-03"/>
    <x v="84"/>
    <x v="0"/>
    <x v="1"/>
    <n v="1"/>
    <n v="1"/>
  </r>
  <r>
    <n v="1"/>
    <n v="3"/>
    <x v="0"/>
    <s v="RENDIDA"/>
    <s v="2018-04-03"/>
    <x v="85"/>
    <x v="0"/>
    <x v="1"/>
    <n v="1"/>
    <n v="1"/>
  </r>
  <r>
    <n v="1"/>
    <n v="3"/>
    <x v="0"/>
    <s v="RENDIDA"/>
    <s v="2018-04-03"/>
    <x v="86"/>
    <x v="0"/>
    <x v="1"/>
    <n v="1"/>
    <n v="1"/>
  </r>
  <r>
    <n v="1"/>
    <n v="3"/>
    <x v="0"/>
    <s v="RENDIDA"/>
    <s v="2018-04-03"/>
    <x v="87"/>
    <x v="0"/>
    <x v="1"/>
    <n v="1"/>
    <n v="1"/>
  </r>
  <r>
    <n v="1"/>
    <n v="3"/>
    <x v="0"/>
    <s v="RENDIDA"/>
    <s v="2018-04-03"/>
    <x v="88"/>
    <x v="0"/>
    <x v="1"/>
    <n v="1"/>
    <n v="1"/>
  </r>
  <r>
    <n v="1"/>
    <n v="3"/>
    <x v="0"/>
    <s v="RENDIDA"/>
    <s v="2018-04-03"/>
    <x v="89"/>
    <x v="0"/>
    <x v="1"/>
    <n v="1"/>
    <n v="1"/>
  </r>
  <r>
    <n v="1"/>
    <n v="3"/>
    <x v="0"/>
    <s v="RENDIDA"/>
    <s v="2018-04-03"/>
    <x v="90"/>
    <x v="0"/>
    <x v="1"/>
    <n v="1"/>
    <n v="1"/>
  </r>
  <r>
    <n v="1"/>
    <n v="3"/>
    <x v="0"/>
    <s v="RENDIDA"/>
    <s v="2018-04-03"/>
    <x v="91"/>
    <x v="0"/>
    <x v="1"/>
    <n v="1"/>
    <n v="1"/>
  </r>
  <r>
    <n v="1"/>
    <n v="3"/>
    <x v="0"/>
    <s v="RENDIDA"/>
    <s v="2018-04-03"/>
    <x v="92"/>
    <x v="0"/>
    <x v="1"/>
    <n v="1"/>
    <n v="1"/>
  </r>
  <r>
    <n v="1"/>
    <n v="3"/>
    <x v="0"/>
    <s v="RENDIDA"/>
    <s v="2018-04-03"/>
    <x v="93"/>
    <x v="0"/>
    <x v="1"/>
    <n v="1"/>
    <n v="1"/>
  </r>
  <r>
    <n v="1"/>
    <n v="3"/>
    <x v="0"/>
    <s v="RENDIDA"/>
    <s v="2018-04-03"/>
    <x v="94"/>
    <x v="0"/>
    <x v="1"/>
    <n v="1"/>
    <n v="1"/>
  </r>
  <r>
    <n v="1"/>
    <n v="3"/>
    <x v="0"/>
    <s v="RENDIDA"/>
    <s v="2018-04-03"/>
    <x v="95"/>
    <x v="0"/>
    <x v="1"/>
    <n v="1"/>
    <n v="1"/>
  </r>
  <r>
    <n v="1"/>
    <n v="3"/>
    <x v="0"/>
    <s v="RENDIDA"/>
    <s v="2018-04-03"/>
    <x v="96"/>
    <x v="0"/>
    <x v="1"/>
    <n v="1"/>
    <n v="1"/>
  </r>
  <r>
    <n v="1"/>
    <n v="3"/>
    <x v="0"/>
    <s v="RENDIDA"/>
    <s v="2018-04-03"/>
    <x v="97"/>
    <x v="0"/>
    <x v="1"/>
    <n v="1"/>
    <n v="1"/>
  </r>
  <r>
    <n v="1"/>
    <n v="3"/>
    <x v="0"/>
    <s v="RENDIDA"/>
    <s v="2018-04-04"/>
    <x v="98"/>
    <x v="0"/>
    <x v="1"/>
    <n v="1"/>
    <n v="1"/>
  </r>
  <r>
    <n v="1"/>
    <n v="3"/>
    <x v="0"/>
    <s v="RENDIDA"/>
    <s v="2018-04-04"/>
    <x v="99"/>
    <x v="0"/>
    <x v="1"/>
    <n v="1"/>
    <n v="1"/>
  </r>
  <r>
    <n v="1"/>
    <n v="3"/>
    <x v="0"/>
    <s v="RENDIDA"/>
    <s v="2018-04-04"/>
    <x v="100"/>
    <x v="0"/>
    <x v="1"/>
    <n v="1"/>
    <n v="1"/>
  </r>
  <r>
    <n v="1"/>
    <n v="3"/>
    <x v="0"/>
    <s v="RENDIDA"/>
    <s v="2018-04-04"/>
    <x v="101"/>
    <x v="0"/>
    <x v="1"/>
    <n v="1"/>
    <n v="1"/>
  </r>
  <r>
    <n v="1"/>
    <n v="3"/>
    <x v="0"/>
    <s v="RENDIDA"/>
    <s v="2018-04-04"/>
    <x v="102"/>
    <x v="0"/>
    <x v="1"/>
    <n v="1"/>
    <n v="1"/>
  </r>
  <r>
    <n v="1"/>
    <n v="3"/>
    <x v="0"/>
    <s v="RENDIDA"/>
    <s v="2018-04-04"/>
    <x v="103"/>
    <x v="0"/>
    <x v="1"/>
    <n v="1"/>
    <n v="1"/>
  </r>
  <r>
    <n v="1"/>
    <n v="3"/>
    <x v="0"/>
    <s v="RENDIDA"/>
    <s v="2018-04-04"/>
    <x v="104"/>
    <x v="0"/>
    <x v="1"/>
    <n v="1"/>
    <n v="1"/>
  </r>
  <r>
    <n v="1"/>
    <n v="3"/>
    <x v="0"/>
    <s v="RENDIDA"/>
    <s v="2018-04-04"/>
    <x v="105"/>
    <x v="0"/>
    <x v="1"/>
    <n v="1"/>
    <n v="1"/>
  </r>
  <r>
    <n v="1"/>
    <n v="3"/>
    <x v="0"/>
    <s v="RENDIDA"/>
    <s v="2018-04-04"/>
    <x v="106"/>
    <x v="0"/>
    <x v="1"/>
    <n v="1"/>
    <n v="1"/>
  </r>
  <r>
    <n v="1"/>
    <n v="3"/>
    <x v="0"/>
    <s v="RENDIDA"/>
    <s v="2018-04-04"/>
    <x v="107"/>
    <x v="0"/>
    <x v="1"/>
    <n v="1"/>
    <n v="1"/>
  </r>
  <r>
    <n v="1"/>
    <n v="3"/>
    <x v="0"/>
    <s v="RENDIDA"/>
    <s v="2018-04-04"/>
    <x v="108"/>
    <x v="0"/>
    <x v="1"/>
    <n v="1"/>
    <n v="1"/>
  </r>
  <r>
    <n v="1"/>
    <n v="3"/>
    <x v="0"/>
    <s v="RENDIDA"/>
    <s v="2018-04-04"/>
    <x v="109"/>
    <x v="0"/>
    <x v="1"/>
    <n v="1"/>
    <n v="1"/>
  </r>
  <r>
    <n v="1"/>
    <n v="3"/>
    <x v="0"/>
    <s v="RENDIDA"/>
    <s v="2018-04-04"/>
    <x v="110"/>
    <x v="0"/>
    <x v="1"/>
    <n v="1"/>
    <n v="1"/>
  </r>
  <r>
    <n v="1"/>
    <n v="3"/>
    <x v="0"/>
    <s v="RENDIDA"/>
    <s v="2018-04-04"/>
    <x v="111"/>
    <x v="0"/>
    <x v="1"/>
    <n v="1"/>
    <n v="1"/>
  </r>
  <r>
    <n v="1"/>
    <n v="3"/>
    <x v="0"/>
    <s v="RENDIDA"/>
    <s v="2018-04-04"/>
    <x v="112"/>
    <x v="0"/>
    <x v="1"/>
    <n v="1"/>
    <n v="1"/>
  </r>
  <r>
    <n v="1"/>
    <n v="3"/>
    <x v="0"/>
    <s v="RENDIDA"/>
    <s v="2018-04-06"/>
    <x v="113"/>
    <x v="0"/>
    <x v="1"/>
    <n v="1"/>
    <n v="1"/>
  </r>
  <r>
    <n v="1"/>
    <n v="3"/>
    <x v="0"/>
    <s v="RENDIDA"/>
    <s v="2018-04-06"/>
    <x v="114"/>
    <x v="0"/>
    <x v="1"/>
    <n v="1"/>
    <n v="1"/>
  </r>
  <r>
    <n v="1"/>
    <n v="3"/>
    <x v="0"/>
    <s v="RENDIDA"/>
    <s v="2018-04-06"/>
    <x v="115"/>
    <x v="0"/>
    <x v="1"/>
    <n v="1"/>
    <n v="1"/>
  </r>
  <r>
    <n v="1"/>
    <n v="3"/>
    <x v="0"/>
    <s v="RENDIDA"/>
    <s v="2018-04-06"/>
    <x v="116"/>
    <x v="0"/>
    <x v="1"/>
    <n v="1"/>
    <n v="1"/>
  </r>
  <r>
    <n v="1"/>
    <n v="3"/>
    <x v="0"/>
    <s v="RENDIDA"/>
    <s v="2018-04-12"/>
    <x v="117"/>
    <x v="0"/>
    <x v="1"/>
    <n v="1"/>
    <n v="1"/>
  </r>
  <r>
    <n v="1"/>
    <n v="3"/>
    <x v="0"/>
    <s v="RENDIDA"/>
    <s v="2018-04-12"/>
    <x v="118"/>
    <x v="0"/>
    <x v="1"/>
    <n v="1"/>
    <n v="1"/>
  </r>
  <r>
    <n v="1"/>
    <n v="3"/>
    <x v="0"/>
    <s v="RENDIDA"/>
    <s v="2018-04-12"/>
    <x v="119"/>
    <x v="0"/>
    <x v="1"/>
    <n v="1"/>
    <n v="1"/>
  </r>
  <r>
    <n v="1"/>
    <n v="3"/>
    <x v="0"/>
    <s v="RENDIDA"/>
    <s v="2018-04-12"/>
    <x v="120"/>
    <x v="0"/>
    <x v="1"/>
    <n v="1"/>
    <n v="1"/>
  </r>
  <r>
    <n v="1"/>
    <n v="3"/>
    <x v="0"/>
    <s v="RENDIDA"/>
    <s v="2018-04-12"/>
    <x v="121"/>
    <x v="0"/>
    <x v="1"/>
    <n v="1"/>
    <n v="1"/>
  </r>
  <r>
    <n v="1"/>
    <n v="3"/>
    <x v="0"/>
    <s v="RENDIDA"/>
    <s v="2018-04-12"/>
    <x v="122"/>
    <x v="0"/>
    <x v="1"/>
    <n v="1"/>
    <n v="1"/>
  </r>
  <r>
    <n v="1"/>
    <n v="3"/>
    <x v="0"/>
    <s v="RENDIDA"/>
    <s v="2018-04-12"/>
    <x v="123"/>
    <x v="0"/>
    <x v="1"/>
    <n v="1"/>
    <n v="1"/>
  </r>
  <r>
    <n v="1"/>
    <n v="3"/>
    <x v="0"/>
    <s v="RENDIDA"/>
    <s v="2018-04-12"/>
    <x v="124"/>
    <x v="0"/>
    <x v="1"/>
    <n v="1"/>
    <n v="1"/>
  </r>
  <r>
    <n v="1"/>
    <n v="3"/>
    <x v="0"/>
    <s v="RENDIDA"/>
    <s v="2018-04-12"/>
    <x v="125"/>
    <x v="0"/>
    <x v="1"/>
    <n v="1"/>
    <n v="1"/>
  </r>
  <r>
    <n v="1"/>
    <n v="3"/>
    <x v="0"/>
    <s v="RENDIDA"/>
    <s v="2018-04-12"/>
    <x v="126"/>
    <x v="0"/>
    <x v="1"/>
    <n v="1"/>
    <n v="1"/>
  </r>
  <r>
    <n v="1"/>
    <n v="3"/>
    <x v="0"/>
    <s v="RENDIDA"/>
    <s v="2018-04-12"/>
    <x v="127"/>
    <x v="0"/>
    <x v="1"/>
    <n v="1"/>
    <n v="1"/>
  </r>
  <r>
    <n v="1"/>
    <n v="3"/>
    <x v="0"/>
    <s v="RENDIDA"/>
    <s v="2018-04-12"/>
    <x v="128"/>
    <x v="0"/>
    <x v="1"/>
    <n v="1"/>
    <n v="1"/>
  </r>
  <r>
    <n v="1"/>
    <n v="3"/>
    <x v="0"/>
    <s v="RENDIDA"/>
    <s v="2018-04-12"/>
    <x v="129"/>
    <x v="0"/>
    <x v="1"/>
    <n v="1"/>
    <n v="1"/>
  </r>
  <r>
    <n v="1"/>
    <n v="3"/>
    <x v="0"/>
    <s v="RENDIDA"/>
    <s v="2018-04-12"/>
    <x v="130"/>
    <x v="0"/>
    <x v="1"/>
    <n v="1"/>
    <n v="1"/>
  </r>
  <r>
    <n v="1"/>
    <n v="3"/>
    <x v="0"/>
    <s v="RENDIDA"/>
    <s v="2018-04-12"/>
    <x v="131"/>
    <x v="0"/>
    <x v="1"/>
    <n v="1"/>
    <n v="1"/>
  </r>
  <r>
    <n v="1"/>
    <n v="3"/>
    <x v="0"/>
    <s v="RENDIDA"/>
    <s v="2018-04-12"/>
    <x v="132"/>
    <x v="0"/>
    <x v="1"/>
    <n v="1"/>
    <n v="1"/>
  </r>
  <r>
    <n v="1"/>
    <n v="3"/>
    <x v="0"/>
    <s v="RENDIDA"/>
    <s v="2018-04-12"/>
    <x v="133"/>
    <x v="0"/>
    <x v="1"/>
    <n v="1"/>
    <n v="1"/>
  </r>
  <r>
    <n v="1"/>
    <n v="3"/>
    <x v="0"/>
    <s v="RENDIDA"/>
    <s v="2018-04-12"/>
    <x v="134"/>
    <x v="0"/>
    <x v="1"/>
    <n v="1"/>
    <n v="1"/>
  </r>
  <r>
    <n v="1"/>
    <n v="3"/>
    <x v="0"/>
    <s v="RENDIDA"/>
    <s v="2018-04-12"/>
    <x v="135"/>
    <x v="0"/>
    <x v="1"/>
    <n v="1"/>
    <n v="1"/>
  </r>
  <r>
    <n v="1"/>
    <n v="3"/>
    <x v="0"/>
    <s v="RENDIDA"/>
    <s v="2018-04-12"/>
    <x v="136"/>
    <x v="0"/>
    <x v="1"/>
    <n v="1"/>
    <n v="1"/>
  </r>
  <r>
    <n v="1"/>
    <n v="3"/>
    <x v="0"/>
    <s v="RENDIDA"/>
    <s v="2018-04-12"/>
    <x v="137"/>
    <x v="0"/>
    <x v="1"/>
    <n v="1"/>
    <n v="1"/>
  </r>
  <r>
    <n v="1"/>
    <n v="3"/>
    <x v="0"/>
    <s v="RENDIDA"/>
    <s v="2018-04-12"/>
    <x v="138"/>
    <x v="0"/>
    <x v="1"/>
    <n v="1"/>
    <n v="1"/>
  </r>
  <r>
    <n v="1"/>
    <n v="3"/>
    <x v="0"/>
    <s v="RENDIDA"/>
    <s v="2018-04-12"/>
    <x v="139"/>
    <x v="0"/>
    <x v="1"/>
    <n v="1"/>
    <n v="1"/>
  </r>
  <r>
    <n v="1"/>
    <n v="3"/>
    <x v="0"/>
    <s v="RENDIDA"/>
    <s v="2018-04-12"/>
    <x v="140"/>
    <x v="0"/>
    <x v="1"/>
    <n v="1"/>
    <n v="1"/>
  </r>
  <r>
    <n v="1"/>
    <n v="3"/>
    <x v="0"/>
    <s v="RENDIDA"/>
    <s v="2018-04-12"/>
    <x v="141"/>
    <x v="0"/>
    <x v="1"/>
    <n v="1"/>
    <n v="1"/>
  </r>
  <r>
    <n v="1"/>
    <n v="3"/>
    <x v="0"/>
    <s v="RENDIDA"/>
    <s v="2018-04-12"/>
    <x v="142"/>
    <x v="0"/>
    <x v="1"/>
    <n v="1"/>
    <n v="1"/>
  </r>
  <r>
    <n v="1"/>
    <n v="3"/>
    <x v="0"/>
    <s v="RENDIDA"/>
    <s v="2018-04-12"/>
    <x v="143"/>
    <x v="0"/>
    <x v="1"/>
    <n v="1"/>
    <n v="1"/>
  </r>
  <r>
    <n v="1"/>
    <n v="3"/>
    <x v="0"/>
    <s v="RENDIDA"/>
    <s v="2018-04-12"/>
    <x v="144"/>
    <x v="0"/>
    <x v="1"/>
    <n v="1"/>
    <n v="1"/>
  </r>
  <r>
    <n v="1"/>
    <n v="3"/>
    <x v="0"/>
    <s v="RENDIDA"/>
    <s v="2018-04-12"/>
    <x v="145"/>
    <x v="0"/>
    <x v="1"/>
    <n v="1"/>
    <n v="1"/>
  </r>
  <r>
    <n v="1"/>
    <n v="3"/>
    <x v="0"/>
    <s v="RENDIDA"/>
    <s v="2018-04-12"/>
    <x v="146"/>
    <x v="0"/>
    <x v="1"/>
    <n v="1"/>
    <n v="1"/>
  </r>
  <r>
    <n v="1"/>
    <n v="3"/>
    <x v="0"/>
    <s v="RENDIDA"/>
    <s v="2018-04-12"/>
    <x v="147"/>
    <x v="0"/>
    <x v="1"/>
    <n v="1"/>
    <n v="1"/>
  </r>
  <r>
    <n v="1"/>
    <n v="3"/>
    <x v="0"/>
    <s v="RENDIDA"/>
    <s v="2018-04-12"/>
    <x v="148"/>
    <x v="0"/>
    <x v="1"/>
    <n v="1"/>
    <n v="1"/>
  </r>
  <r>
    <n v="1"/>
    <n v="3"/>
    <x v="0"/>
    <s v="RENDIDA"/>
    <s v="2018-04-12"/>
    <x v="149"/>
    <x v="0"/>
    <x v="1"/>
    <n v="1"/>
    <n v="1"/>
  </r>
  <r>
    <n v="1"/>
    <n v="3"/>
    <x v="0"/>
    <s v="RENDIDA"/>
    <s v="2018-04-12"/>
    <x v="150"/>
    <x v="0"/>
    <x v="1"/>
    <n v="1"/>
    <n v="1"/>
  </r>
  <r>
    <n v="1"/>
    <n v="3"/>
    <x v="0"/>
    <s v="RENDIDA"/>
    <s v="2018-04-12"/>
    <x v="151"/>
    <x v="0"/>
    <x v="1"/>
    <n v="1"/>
    <n v="1"/>
  </r>
  <r>
    <n v="1"/>
    <n v="3"/>
    <x v="0"/>
    <s v="RENDIDA"/>
    <s v="2018-04-12"/>
    <x v="152"/>
    <x v="0"/>
    <x v="1"/>
    <n v="1"/>
    <n v="1"/>
  </r>
  <r>
    <n v="1"/>
    <n v="3"/>
    <x v="0"/>
    <s v="RENDIDA"/>
    <s v="2018-04-12"/>
    <x v="153"/>
    <x v="0"/>
    <x v="1"/>
    <n v="1"/>
    <n v="1"/>
  </r>
  <r>
    <n v="1"/>
    <n v="3"/>
    <x v="0"/>
    <s v="RENDIDA"/>
    <s v="2018-04-13"/>
    <x v="154"/>
    <x v="0"/>
    <x v="1"/>
    <n v="1"/>
    <n v="1"/>
  </r>
  <r>
    <n v="1"/>
    <n v="3"/>
    <x v="0"/>
    <s v="RENDIDA"/>
    <s v="2018-04-13"/>
    <x v="155"/>
    <x v="0"/>
    <x v="1"/>
    <n v="1"/>
    <n v="1"/>
  </r>
  <r>
    <n v="1"/>
    <n v="3"/>
    <x v="0"/>
    <s v="RENDIDA"/>
    <s v="2018-04-18"/>
    <x v="156"/>
    <x v="0"/>
    <x v="1"/>
    <n v="1"/>
    <n v="1"/>
  </r>
  <r>
    <n v="1"/>
    <n v="3"/>
    <x v="0"/>
    <s v="RENDIDA"/>
    <s v="2018-04-18"/>
    <x v="157"/>
    <x v="0"/>
    <x v="1"/>
    <n v="1"/>
    <n v="1"/>
  </r>
  <r>
    <n v="1"/>
    <n v="3"/>
    <x v="0"/>
    <s v="RENDIDA"/>
    <s v="2018-04-18"/>
    <x v="158"/>
    <x v="0"/>
    <x v="1"/>
    <n v="1"/>
    <n v="1"/>
  </r>
  <r>
    <n v="1"/>
    <n v="3"/>
    <x v="0"/>
    <s v="RENDIDA"/>
    <s v="2018-04-18"/>
    <x v="159"/>
    <x v="0"/>
    <x v="1"/>
    <n v="1"/>
    <n v="1"/>
  </r>
  <r>
    <n v="1"/>
    <n v="3"/>
    <x v="0"/>
    <s v="RENDIDA"/>
    <s v="2018-04-18"/>
    <x v="160"/>
    <x v="0"/>
    <x v="1"/>
    <n v="1"/>
    <n v="1"/>
  </r>
  <r>
    <n v="1"/>
    <n v="3"/>
    <x v="0"/>
    <s v="RENDIDA"/>
    <s v="2018-04-18"/>
    <x v="161"/>
    <x v="0"/>
    <x v="1"/>
    <n v="1"/>
    <n v="1"/>
  </r>
  <r>
    <n v="1"/>
    <n v="3"/>
    <x v="0"/>
    <s v="RENDIDA"/>
    <s v="2018-04-18"/>
    <x v="162"/>
    <x v="0"/>
    <x v="1"/>
    <n v="1"/>
    <n v="1"/>
  </r>
  <r>
    <n v="1"/>
    <n v="3"/>
    <x v="0"/>
    <s v="RENDIDA"/>
    <s v="2018-04-18"/>
    <x v="163"/>
    <x v="0"/>
    <x v="1"/>
    <n v="1"/>
    <n v="1"/>
  </r>
  <r>
    <n v="1"/>
    <n v="3"/>
    <x v="0"/>
    <s v="RENDIDA"/>
    <s v="2018-04-18"/>
    <x v="164"/>
    <x v="0"/>
    <x v="1"/>
    <n v="1"/>
    <n v="1"/>
  </r>
  <r>
    <n v="1"/>
    <n v="3"/>
    <x v="0"/>
    <s v="RENDIDA"/>
    <s v="2018-04-18"/>
    <x v="165"/>
    <x v="0"/>
    <x v="1"/>
    <n v="1"/>
    <n v="1"/>
  </r>
  <r>
    <n v="1"/>
    <n v="3"/>
    <x v="0"/>
    <s v="RENDIDA"/>
    <s v="2018-04-18"/>
    <x v="166"/>
    <x v="0"/>
    <x v="1"/>
    <n v="1"/>
    <n v="1"/>
  </r>
  <r>
    <n v="1"/>
    <n v="3"/>
    <x v="0"/>
    <s v="RENDIDA"/>
    <s v="2018-04-18"/>
    <x v="167"/>
    <x v="0"/>
    <x v="1"/>
    <n v="1"/>
    <n v="1"/>
  </r>
  <r>
    <n v="1"/>
    <n v="3"/>
    <x v="0"/>
    <s v="RENDIDA"/>
    <s v="2018-04-18"/>
    <x v="168"/>
    <x v="0"/>
    <x v="1"/>
    <n v="1"/>
    <n v="1"/>
  </r>
  <r>
    <n v="1"/>
    <n v="3"/>
    <x v="0"/>
    <s v="RENDIDA"/>
    <s v="2018-04-20"/>
    <x v="169"/>
    <x v="0"/>
    <x v="1"/>
    <n v="1"/>
    <n v="1"/>
  </r>
  <r>
    <n v="1"/>
    <n v="3"/>
    <x v="0"/>
    <s v="RENDIDA"/>
    <s v="2018-04-20"/>
    <x v="170"/>
    <x v="0"/>
    <x v="1"/>
    <n v="1"/>
    <n v="1"/>
  </r>
  <r>
    <n v="1"/>
    <n v="3"/>
    <x v="0"/>
    <s v="RENDIDA"/>
    <s v="2018-04-20"/>
    <x v="171"/>
    <x v="0"/>
    <x v="1"/>
    <n v="1"/>
    <n v="1"/>
  </r>
  <r>
    <n v="1"/>
    <n v="3"/>
    <x v="0"/>
    <s v="RENDIDA"/>
    <s v="2018-04-20"/>
    <x v="172"/>
    <x v="0"/>
    <x v="1"/>
    <n v="1"/>
    <n v="1"/>
  </r>
  <r>
    <n v="1"/>
    <n v="3"/>
    <x v="0"/>
    <s v="RENDIDA"/>
    <s v="2018-04-20"/>
    <x v="173"/>
    <x v="0"/>
    <x v="1"/>
    <n v="1"/>
    <n v="1"/>
  </r>
  <r>
    <n v="1"/>
    <n v="3"/>
    <x v="0"/>
    <s v="RENDIDA"/>
    <s v="2018-04-20"/>
    <x v="174"/>
    <x v="0"/>
    <x v="1"/>
    <n v="1"/>
    <n v="1"/>
  </r>
  <r>
    <n v="1"/>
    <n v="3"/>
    <x v="0"/>
    <s v="RENDIDA"/>
    <s v="2018-04-20"/>
    <x v="175"/>
    <x v="0"/>
    <x v="1"/>
    <n v="1"/>
    <n v="1"/>
  </r>
  <r>
    <n v="1"/>
    <n v="3"/>
    <x v="0"/>
    <s v="SIN RENDIR"/>
    <s v="2018-04-20"/>
    <x v="176"/>
    <x v="0"/>
    <x v="1"/>
    <n v="0"/>
    <n v="1"/>
  </r>
  <r>
    <n v="1"/>
    <n v="3"/>
    <x v="0"/>
    <s v="RENDIDA"/>
    <s v="2018-04-20"/>
    <x v="177"/>
    <x v="0"/>
    <x v="1"/>
    <n v="1"/>
    <n v="1"/>
  </r>
  <r>
    <n v="1"/>
    <n v="3"/>
    <x v="0"/>
    <s v="RENDIDA"/>
    <s v="2018-04-20"/>
    <x v="178"/>
    <x v="0"/>
    <x v="1"/>
    <n v="1"/>
    <n v="1"/>
  </r>
  <r>
    <n v="1"/>
    <n v="3"/>
    <x v="0"/>
    <s v="RENDIDA"/>
    <s v="2018-04-20"/>
    <x v="179"/>
    <x v="0"/>
    <x v="1"/>
    <n v="1"/>
    <n v="1"/>
  </r>
  <r>
    <n v="1"/>
    <n v="3"/>
    <x v="0"/>
    <s v="RENDIDA"/>
    <s v="2018-04-20"/>
    <x v="180"/>
    <x v="0"/>
    <x v="1"/>
    <n v="1"/>
    <n v="1"/>
  </r>
  <r>
    <n v="1"/>
    <n v="3"/>
    <x v="0"/>
    <s v="RENDIDA"/>
    <s v="2018-04-20"/>
    <x v="181"/>
    <x v="0"/>
    <x v="1"/>
    <n v="1"/>
    <n v="1"/>
  </r>
  <r>
    <n v="1"/>
    <n v="3"/>
    <x v="0"/>
    <s v="RENDIDA"/>
    <s v="2018-04-20"/>
    <x v="182"/>
    <x v="0"/>
    <x v="1"/>
    <n v="1"/>
    <n v="1"/>
  </r>
  <r>
    <n v="1"/>
    <n v="3"/>
    <x v="0"/>
    <s v="RENDIDA"/>
    <s v="2018-04-20"/>
    <x v="183"/>
    <x v="0"/>
    <x v="1"/>
    <n v="1"/>
    <n v="1"/>
  </r>
  <r>
    <n v="1"/>
    <n v="3"/>
    <x v="0"/>
    <s v="RENDIDA"/>
    <s v="2018-04-20"/>
    <x v="184"/>
    <x v="0"/>
    <x v="1"/>
    <n v="1"/>
    <n v="1"/>
  </r>
  <r>
    <n v="1"/>
    <n v="3"/>
    <x v="0"/>
    <s v="RENDIDA"/>
    <s v="2018-04-20"/>
    <x v="185"/>
    <x v="0"/>
    <x v="1"/>
    <n v="1"/>
    <n v="1"/>
  </r>
  <r>
    <n v="1"/>
    <n v="3"/>
    <x v="0"/>
    <s v="RENDIDA"/>
    <s v="2018-04-20"/>
    <x v="186"/>
    <x v="0"/>
    <x v="1"/>
    <n v="1"/>
    <n v="1"/>
  </r>
  <r>
    <n v="1"/>
    <n v="3"/>
    <x v="0"/>
    <s v="RENDIDA"/>
    <s v="2018-04-20"/>
    <x v="187"/>
    <x v="0"/>
    <x v="1"/>
    <n v="1"/>
    <n v="1"/>
  </r>
  <r>
    <n v="1"/>
    <n v="3"/>
    <x v="0"/>
    <s v="RENDIDA"/>
    <s v="2018-04-20"/>
    <x v="188"/>
    <x v="0"/>
    <x v="1"/>
    <n v="1"/>
    <n v="1"/>
  </r>
  <r>
    <n v="1"/>
    <n v="3"/>
    <x v="0"/>
    <s v="RENDIDA"/>
    <s v="2018-04-20"/>
    <x v="189"/>
    <x v="0"/>
    <x v="1"/>
    <n v="1"/>
    <n v="1"/>
  </r>
  <r>
    <n v="1"/>
    <n v="3"/>
    <x v="0"/>
    <s v="RENDIDA"/>
    <s v="2018-04-20"/>
    <x v="190"/>
    <x v="0"/>
    <x v="1"/>
    <n v="1"/>
    <n v="1"/>
  </r>
  <r>
    <n v="1"/>
    <n v="3"/>
    <x v="0"/>
    <s v="RENDIDA"/>
    <s v="2018-04-20"/>
    <x v="191"/>
    <x v="0"/>
    <x v="1"/>
    <n v="1"/>
    <n v="1"/>
  </r>
  <r>
    <n v="1"/>
    <n v="3"/>
    <x v="0"/>
    <s v="RENDIDA"/>
    <s v="2018-04-20"/>
    <x v="192"/>
    <x v="0"/>
    <x v="1"/>
    <n v="1"/>
    <n v="1"/>
  </r>
  <r>
    <n v="1"/>
    <n v="3"/>
    <x v="0"/>
    <s v="RENDIDA"/>
    <s v="2018-04-20"/>
    <x v="193"/>
    <x v="0"/>
    <x v="1"/>
    <n v="1"/>
    <n v="1"/>
  </r>
  <r>
    <n v="1"/>
    <n v="3"/>
    <x v="0"/>
    <s v="RENDIDA"/>
    <s v="2018-04-20"/>
    <x v="194"/>
    <x v="0"/>
    <x v="1"/>
    <n v="1"/>
    <n v="1"/>
  </r>
  <r>
    <n v="1"/>
    <n v="3"/>
    <x v="0"/>
    <s v="RENDIDA"/>
    <s v="2018-04-25"/>
    <x v="195"/>
    <x v="0"/>
    <x v="1"/>
    <n v="1"/>
    <n v="1"/>
  </r>
  <r>
    <n v="1"/>
    <n v="3"/>
    <x v="0"/>
    <s v="RENDIDA"/>
    <s v="2018-04-25"/>
    <x v="196"/>
    <x v="0"/>
    <x v="1"/>
    <n v="1"/>
    <n v="1"/>
  </r>
  <r>
    <n v="1"/>
    <n v="3"/>
    <x v="0"/>
    <s v="RENDIDA"/>
    <s v="2018-04-25"/>
    <x v="197"/>
    <x v="0"/>
    <x v="1"/>
    <n v="1"/>
    <n v="1"/>
  </r>
  <r>
    <n v="1"/>
    <n v="3"/>
    <x v="0"/>
    <s v="RENDIDA"/>
    <s v="2018-04-25"/>
    <x v="198"/>
    <x v="0"/>
    <x v="1"/>
    <n v="1"/>
    <n v="1"/>
  </r>
  <r>
    <n v="1"/>
    <n v="3"/>
    <x v="0"/>
    <s v="RENDIDA"/>
    <s v="2018-04-25"/>
    <x v="199"/>
    <x v="0"/>
    <x v="1"/>
    <n v="1"/>
    <n v="1"/>
  </r>
  <r>
    <n v="1"/>
    <n v="3"/>
    <x v="0"/>
    <s v="RENDIDA"/>
    <s v="2018-04-25"/>
    <x v="200"/>
    <x v="0"/>
    <x v="1"/>
    <n v="1"/>
    <n v="1"/>
  </r>
  <r>
    <n v="1"/>
    <n v="3"/>
    <x v="0"/>
    <s v="RENDIDA"/>
    <s v="2018-04-26"/>
    <x v="201"/>
    <x v="0"/>
    <x v="1"/>
    <n v="1"/>
    <n v="1"/>
  </r>
  <r>
    <n v="1"/>
    <n v="3"/>
    <x v="0"/>
    <s v="RENDIDA"/>
    <s v="2018-04-26"/>
    <x v="202"/>
    <x v="0"/>
    <x v="1"/>
    <n v="1"/>
    <n v="1"/>
  </r>
  <r>
    <n v="1"/>
    <n v="3"/>
    <x v="0"/>
    <s v="RENDIDA"/>
    <s v="2018-04-26"/>
    <x v="203"/>
    <x v="0"/>
    <x v="1"/>
    <n v="1"/>
    <n v="1"/>
  </r>
  <r>
    <n v="1"/>
    <n v="3"/>
    <x v="0"/>
    <s v="RENDIDA"/>
    <s v="2018-04-26"/>
    <x v="204"/>
    <x v="0"/>
    <x v="1"/>
    <n v="1"/>
    <n v="1"/>
  </r>
  <r>
    <n v="1"/>
    <n v="3"/>
    <x v="0"/>
    <s v="RENDIDA"/>
    <s v="2018-04-26"/>
    <x v="205"/>
    <x v="0"/>
    <x v="1"/>
    <n v="1"/>
    <n v="1"/>
  </r>
  <r>
    <n v="1"/>
    <n v="3"/>
    <x v="0"/>
    <s v="RENDIDA"/>
    <s v="2018-04-26"/>
    <x v="206"/>
    <x v="0"/>
    <x v="1"/>
    <n v="1"/>
    <n v="1"/>
  </r>
  <r>
    <n v="1"/>
    <n v="3"/>
    <x v="0"/>
    <s v="RENDIDA"/>
    <s v="2018-04-26"/>
    <x v="207"/>
    <x v="0"/>
    <x v="1"/>
    <n v="1"/>
    <n v="1"/>
  </r>
  <r>
    <n v="1"/>
    <n v="3"/>
    <x v="0"/>
    <s v="RENDIDA"/>
    <s v="2018-04-26"/>
    <x v="208"/>
    <x v="0"/>
    <x v="1"/>
    <n v="1"/>
    <n v="1"/>
  </r>
  <r>
    <n v="1"/>
    <n v="3"/>
    <x v="0"/>
    <s v="RENDIDA"/>
    <s v="2018-04-26"/>
    <x v="209"/>
    <x v="0"/>
    <x v="1"/>
    <n v="1"/>
    <n v="1"/>
  </r>
  <r>
    <n v="1"/>
    <n v="3"/>
    <x v="0"/>
    <s v="RENDIDA"/>
    <s v="2018-04-26"/>
    <x v="210"/>
    <x v="0"/>
    <x v="1"/>
    <n v="1"/>
    <n v="1"/>
  </r>
  <r>
    <n v="1"/>
    <n v="3"/>
    <x v="0"/>
    <s v="RENDIDA"/>
    <s v="2018-04-26"/>
    <x v="211"/>
    <x v="0"/>
    <x v="1"/>
    <n v="1"/>
    <n v="1"/>
  </r>
  <r>
    <n v="1"/>
    <n v="3"/>
    <x v="0"/>
    <s v="RENDIDA"/>
    <s v="2018-04-26"/>
    <x v="212"/>
    <x v="0"/>
    <x v="1"/>
    <n v="1"/>
    <n v="1"/>
  </r>
  <r>
    <n v="1"/>
    <n v="3"/>
    <x v="0"/>
    <s v="RENDIDA"/>
    <s v="2018-04-26"/>
    <x v="213"/>
    <x v="0"/>
    <x v="1"/>
    <n v="1"/>
    <n v="1"/>
  </r>
  <r>
    <n v="1"/>
    <n v="3"/>
    <x v="0"/>
    <s v="RENDIDA"/>
    <s v="2018-04-26"/>
    <x v="214"/>
    <x v="0"/>
    <x v="1"/>
    <n v="1"/>
    <n v="1"/>
  </r>
  <r>
    <n v="1"/>
    <n v="3"/>
    <x v="0"/>
    <s v="RENDIDA"/>
    <s v="2018-04-26"/>
    <x v="215"/>
    <x v="0"/>
    <x v="1"/>
    <n v="1"/>
    <n v="1"/>
  </r>
  <r>
    <n v="1"/>
    <n v="3"/>
    <x v="0"/>
    <s v="RENDIDA"/>
    <s v="2018-04-26"/>
    <x v="216"/>
    <x v="0"/>
    <x v="1"/>
    <n v="1"/>
    <n v="1"/>
  </r>
  <r>
    <n v="1"/>
    <n v="3"/>
    <x v="0"/>
    <s v="RENDIDA"/>
    <s v="2018-04-30"/>
    <x v="217"/>
    <x v="0"/>
    <x v="1"/>
    <n v="1"/>
    <n v="1"/>
  </r>
  <r>
    <n v="1"/>
    <n v="3"/>
    <x v="0"/>
    <s v="RENDIDA"/>
    <s v="2018-04-30"/>
    <x v="218"/>
    <x v="0"/>
    <x v="1"/>
    <n v="1"/>
    <n v="1"/>
  </r>
  <r>
    <n v="1"/>
    <n v="3"/>
    <x v="0"/>
    <s v="RENDIDA"/>
    <s v="2018-04-30"/>
    <x v="219"/>
    <x v="0"/>
    <x v="1"/>
    <n v="1"/>
    <n v="1"/>
  </r>
  <r>
    <n v="1"/>
    <n v="3"/>
    <x v="0"/>
    <s v="RENDIDA"/>
    <s v="2018-04-30"/>
    <x v="220"/>
    <x v="0"/>
    <x v="1"/>
    <n v="1"/>
    <n v="1"/>
  </r>
  <r>
    <n v="1"/>
    <n v="3"/>
    <x v="0"/>
    <s v="RENDIDA"/>
    <s v="2018-04-30"/>
    <x v="221"/>
    <x v="0"/>
    <x v="1"/>
    <n v="1"/>
    <n v="1"/>
  </r>
  <r>
    <n v="1"/>
    <n v="3"/>
    <x v="0"/>
    <s v="RENDIDA"/>
    <s v="2018-04-30"/>
    <x v="222"/>
    <x v="0"/>
    <x v="1"/>
    <n v="1"/>
    <n v="1"/>
  </r>
  <r>
    <n v="1"/>
    <n v="3"/>
    <x v="0"/>
    <s v="RENDIDA"/>
    <s v="2018-04-30"/>
    <x v="223"/>
    <x v="0"/>
    <x v="1"/>
    <n v="1"/>
    <n v="1"/>
  </r>
  <r>
    <n v="1"/>
    <n v="3"/>
    <x v="0"/>
    <s v="RENDIDA"/>
    <s v="2018-04-30"/>
    <x v="224"/>
    <x v="0"/>
    <x v="1"/>
    <n v="1"/>
    <n v="1"/>
  </r>
  <r>
    <n v="1"/>
    <n v="3"/>
    <x v="0"/>
    <s v="RENDIDA"/>
    <s v="2018-04-30"/>
    <x v="225"/>
    <x v="0"/>
    <x v="1"/>
    <n v="1"/>
    <n v="1"/>
  </r>
  <r>
    <n v="1"/>
    <n v="3"/>
    <x v="0"/>
    <s v="RENDIDA"/>
    <s v="2018-04-30"/>
    <x v="226"/>
    <x v="0"/>
    <x v="1"/>
    <n v="1"/>
    <n v="1"/>
  </r>
  <r>
    <n v="1"/>
    <n v="3"/>
    <x v="0"/>
    <s v="RENDIDA"/>
    <s v="2018-04-30"/>
    <x v="227"/>
    <x v="0"/>
    <x v="1"/>
    <n v="1"/>
    <n v="1"/>
  </r>
  <r>
    <n v="1"/>
    <n v="3"/>
    <x v="0"/>
    <s v="RENDIDA"/>
    <s v="2018-04-30"/>
    <x v="228"/>
    <x v="0"/>
    <x v="1"/>
    <n v="1"/>
    <n v="1"/>
  </r>
  <r>
    <n v="1"/>
    <n v="3"/>
    <x v="0"/>
    <s v="RENDIDA"/>
    <s v="2018-04-30"/>
    <x v="229"/>
    <x v="0"/>
    <x v="1"/>
    <n v="1"/>
    <n v="1"/>
  </r>
  <r>
    <n v="1"/>
    <n v="3"/>
    <x v="0"/>
    <s v="RENDIDA"/>
    <s v="2018-05-02"/>
    <x v="230"/>
    <x v="0"/>
    <x v="2"/>
    <n v="1"/>
    <n v="1"/>
  </r>
  <r>
    <n v="1"/>
    <n v="3"/>
    <x v="0"/>
    <s v="RENDIDA"/>
    <s v="2018-05-02"/>
    <x v="231"/>
    <x v="0"/>
    <x v="2"/>
    <n v="1"/>
    <n v="1"/>
  </r>
  <r>
    <n v="1"/>
    <n v="3"/>
    <x v="0"/>
    <s v="RENDIDA"/>
    <s v="2018-05-02"/>
    <x v="232"/>
    <x v="0"/>
    <x v="2"/>
    <n v="1"/>
    <n v="1"/>
  </r>
  <r>
    <n v="1"/>
    <n v="3"/>
    <x v="0"/>
    <s v="RENDIDA"/>
    <s v="2018-05-02"/>
    <x v="233"/>
    <x v="0"/>
    <x v="2"/>
    <n v="1"/>
    <n v="1"/>
  </r>
  <r>
    <n v="1"/>
    <n v="3"/>
    <x v="0"/>
    <s v="RENDIDA"/>
    <s v="2018-05-07"/>
    <x v="234"/>
    <x v="0"/>
    <x v="2"/>
    <n v="1"/>
    <n v="1"/>
  </r>
  <r>
    <n v="1"/>
    <n v="3"/>
    <x v="0"/>
    <s v="RENDIDA"/>
    <s v="2018-05-10"/>
    <x v="235"/>
    <x v="0"/>
    <x v="2"/>
    <n v="1"/>
    <n v="1"/>
  </r>
  <r>
    <n v="1"/>
    <n v="3"/>
    <x v="0"/>
    <s v="RENDIDA"/>
    <s v="2018-05-10"/>
    <x v="236"/>
    <x v="0"/>
    <x v="2"/>
    <n v="1"/>
    <n v="1"/>
  </r>
  <r>
    <n v="1"/>
    <n v="3"/>
    <x v="0"/>
    <s v="RENDIDA"/>
    <s v="2018-05-10"/>
    <x v="237"/>
    <x v="0"/>
    <x v="2"/>
    <n v="1"/>
    <n v="1"/>
  </r>
  <r>
    <n v="1"/>
    <n v="3"/>
    <x v="0"/>
    <s v="RENDIDA"/>
    <s v="2018-05-10"/>
    <x v="238"/>
    <x v="0"/>
    <x v="2"/>
    <n v="1"/>
    <n v="1"/>
  </r>
  <r>
    <n v="1"/>
    <n v="3"/>
    <x v="0"/>
    <s v="RENDIDA"/>
    <s v="2018-05-10"/>
    <x v="239"/>
    <x v="0"/>
    <x v="2"/>
    <n v="1"/>
    <n v="1"/>
  </r>
  <r>
    <n v="1"/>
    <n v="3"/>
    <x v="0"/>
    <s v="RENDIDA"/>
    <s v="2018-05-10"/>
    <x v="240"/>
    <x v="0"/>
    <x v="2"/>
    <n v="1"/>
    <n v="1"/>
  </r>
  <r>
    <n v="1"/>
    <n v="3"/>
    <x v="0"/>
    <s v="RENDIDA"/>
    <s v="2018-05-10"/>
    <x v="241"/>
    <x v="0"/>
    <x v="2"/>
    <n v="1"/>
    <n v="1"/>
  </r>
  <r>
    <n v="1"/>
    <n v="3"/>
    <x v="0"/>
    <s v="RENDIDA"/>
    <s v="2018-05-10"/>
    <x v="242"/>
    <x v="0"/>
    <x v="2"/>
    <n v="1"/>
    <n v="1"/>
  </r>
  <r>
    <n v="1"/>
    <n v="3"/>
    <x v="0"/>
    <s v="RENDIDA"/>
    <s v="2018-05-10"/>
    <x v="243"/>
    <x v="0"/>
    <x v="2"/>
    <n v="1"/>
    <n v="1"/>
  </r>
  <r>
    <n v="1"/>
    <n v="3"/>
    <x v="0"/>
    <s v="RENDIDA"/>
    <s v="2018-05-10"/>
    <x v="244"/>
    <x v="0"/>
    <x v="2"/>
    <n v="1"/>
    <n v="1"/>
  </r>
  <r>
    <n v="1"/>
    <n v="3"/>
    <x v="0"/>
    <s v="RENDIDA"/>
    <s v="2018-05-10"/>
    <x v="245"/>
    <x v="0"/>
    <x v="2"/>
    <n v="1"/>
    <n v="1"/>
  </r>
  <r>
    <n v="1"/>
    <n v="3"/>
    <x v="0"/>
    <s v="RENDIDA"/>
    <s v="2018-05-10"/>
    <x v="246"/>
    <x v="0"/>
    <x v="2"/>
    <n v="1"/>
    <n v="1"/>
  </r>
  <r>
    <n v="1"/>
    <n v="3"/>
    <x v="0"/>
    <s v="RENDIDA"/>
    <s v="2018-05-10"/>
    <x v="247"/>
    <x v="0"/>
    <x v="2"/>
    <n v="1"/>
    <n v="1"/>
  </r>
  <r>
    <n v="1"/>
    <n v="3"/>
    <x v="0"/>
    <s v="RENDIDA"/>
    <s v="2018-05-10"/>
    <x v="248"/>
    <x v="0"/>
    <x v="2"/>
    <n v="1"/>
    <n v="1"/>
  </r>
  <r>
    <n v="1"/>
    <n v="3"/>
    <x v="0"/>
    <s v="RENDIDA"/>
    <s v="2018-05-11"/>
    <x v="249"/>
    <x v="0"/>
    <x v="2"/>
    <n v="1"/>
    <n v="1"/>
  </r>
  <r>
    <n v="1"/>
    <n v="3"/>
    <x v="0"/>
    <s v="RENDIDA"/>
    <s v="2018-05-11"/>
    <x v="250"/>
    <x v="0"/>
    <x v="2"/>
    <n v="1"/>
    <n v="1"/>
  </r>
  <r>
    <n v="1"/>
    <n v="3"/>
    <x v="0"/>
    <s v="RENDIDA"/>
    <s v="2018-05-11"/>
    <x v="251"/>
    <x v="0"/>
    <x v="2"/>
    <n v="1"/>
    <n v="1"/>
  </r>
  <r>
    <n v="1"/>
    <n v="3"/>
    <x v="0"/>
    <s v="RENDIDA"/>
    <s v="2018-05-11"/>
    <x v="252"/>
    <x v="0"/>
    <x v="2"/>
    <n v="1"/>
    <n v="1"/>
  </r>
  <r>
    <n v="1"/>
    <n v="3"/>
    <x v="0"/>
    <s v="RENDIDA"/>
    <s v="2018-05-11"/>
    <x v="253"/>
    <x v="0"/>
    <x v="2"/>
    <n v="1"/>
    <n v="1"/>
  </r>
  <r>
    <n v="1"/>
    <n v="3"/>
    <x v="0"/>
    <s v="RENDIDA"/>
    <s v="2018-05-11"/>
    <x v="254"/>
    <x v="0"/>
    <x v="2"/>
    <n v="1"/>
    <n v="1"/>
  </r>
  <r>
    <n v="1"/>
    <n v="3"/>
    <x v="0"/>
    <s v="RENDIDA"/>
    <s v="2018-05-11"/>
    <x v="255"/>
    <x v="0"/>
    <x v="2"/>
    <n v="1"/>
    <n v="1"/>
  </r>
  <r>
    <n v="1"/>
    <n v="3"/>
    <x v="0"/>
    <s v="RENDIDA"/>
    <s v="2018-05-11"/>
    <x v="256"/>
    <x v="0"/>
    <x v="2"/>
    <n v="1"/>
    <n v="1"/>
  </r>
  <r>
    <n v="1"/>
    <n v="3"/>
    <x v="0"/>
    <s v="RENDIDA"/>
    <s v="2018-05-11"/>
    <x v="257"/>
    <x v="0"/>
    <x v="2"/>
    <n v="1"/>
    <n v="1"/>
  </r>
  <r>
    <n v="1"/>
    <n v="3"/>
    <x v="0"/>
    <s v="RENDIDA"/>
    <s v="2018-05-11"/>
    <x v="258"/>
    <x v="0"/>
    <x v="2"/>
    <n v="1"/>
    <n v="1"/>
  </r>
  <r>
    <n v="1"/>
    <n v="3"/>
    <x v="0"/>
    <s v="RENDIDA"/>
    <s v="2018-05-11"/>
    <x v="259"/>
    <x v="0"/>
    <x v="2"/>
    <n v="1"/>
    <n v="1"/>
  </r>
  <r>
    <n v="1"/>
    <n v="3"/>
    <x v="0"/>
    <s v="RENDIDA"/>
    <s v="2018-05-11"/>
    <x v="260"/>
    <x v="0"/>
    <x v="2"/>
    <n v="1"/>
    <n v="1"/>
  </r>
  <r>
    <n v="1"/>
    <n v="3"/>
    <x v="0"/>
    <s v="RENDIDA"/>
    <s v="2018-05-11"/>
    <x v="261"/>
    <x v="0"/>
    <x v="2"/>
    <n v="1"/>
    <n v="1"/>
  </r>
  <r>
    <n v="1"/>
    <n v="3"/>
    <x v="0"/>
    <s v="RENDIDA"/>
    <s v="2018-05-11"/>
    <x v="262"/>
    <x v="0"/>
    <x v="2"/>
    <n v="1"/>
    <n v="1"/>
  </r>
  <r>
    <n v="1"/>
    <n v="3"/>
    <x v="0"/>
    <s v="RENDIDA"/>
    <s v="2018-05-11"/>
    <x v="263"/>
    <x v="0"/>
    <x v="2"/>
    <n v="1"/>
    <n v="1"/>
  </r>
  <r>
    <n v="1"/>
    <n v="3"/>
    <x v="0"/>
    <s v="RENDIDA"/>
    <s v="2018-05-11"/>
    <x v="264"/>
    <x v="0"/>
    <x v="2"/>
    <n v="1"/>
    <n v="1"/>
  </r>
  <r>
    <n v="1"/>
    <n v="3"/>
    <x v="0"/>
    <s v="RENDIDA"/>
    <s v="2018-05-11"/>
    <x v="265"/>
    <x v="0"/>
    <x v="2"/>
    <n v="1"/>
    <n v="1"/>
  </r>
  <r>
    <n v="1"/>
    <n v="3"/>
    <x v="0"/>
    <s v="RENDIDA"/>
    <s v="2018-05-14"/>
    <x v="266"/>
    <x v="0"/>
    <x v="2"/>
    <n v="1"/>
    <n v="1"/>
  </r>
  <r>
    <n v="1"/>
    <n v="3"/>
    <x v="0"/>
    <s v="RENDIDA"/>
    <s v="2018-05-14"/>
    <x v="267"/>
    <x v="0"/>
    <x v="2"/>
    <n v="1"/>
    <n v="1"/>
  </r>
  <r>
    <n v="1"/>
    <n v="3"/>
    <x v="0"/>
    <s v="RENDIDA"/>
    <s v="2018-05-14"/>
    <x v="268"/>
    <x v="0"/>
    <x v="2"/>
    <n v="1"/>
    <n v="1"/>
  </r>
  <r>
    <n v="1"/>
    <n v="3"/>
    <x v="0"/>
    <s v="RENDIDA"/>
    <s v="2018-05-14"/>
    <x v="269"/>
    <x v="0"/>
    <x v="2"/>
    <n v="1"/>
    <n v="1"/>
  </r>
  <r>
    <n v="1"/>
    <n v="3"/>
    <x v="0"/>
    <s v="RENDIDA"/>
    <s v="2018-05-14"/>
    <x v="270"/>
    <x v="0"/>
    <x v="2"/>
    <n v="1"/>
    <n v="1"/>
  </r>
  <r>
    <n v="1"/>
    <n v="3"/>
    <x v="0"/>
    <s v="RENDIDA"/>
    <s v="2018-05-14"/>
    <x v="271"/>
    <x v="0"/>
    <x v="2"/>
    <n v="1"/>
    <n v="1"/>
  </r>
  <r>
    <n v="1"/>
    <n v="3"/>
    <x v="0"/>
    <s v="RENDIDA"/>
    <s v="2018-05-14"/>
    <x v="272"/>
    <x v="0"/>
    <x v="2"/>
    <n v="1"/>
    <n v="1"/>
  </r>
  <r>
    <n v="1"/>
    <n v="3"/>
    <x v="0"/>
    <s v="RENDIDA"/>
    <s v="2018-05-23"/>
    <x v="273"/>
    <x v="0"/>
    <x v="2"/>
    <n v="1"/>
    <n v="1"/>
  </r>
  <r>
    <n v="1"/>
    <n v="3"/>
    <x v="0"/>
    <s v="RENDIDA"/>
    <s v="2018-05-23"/>
    <x v="274"/>
    <x v="0"/>
    <x v="2"/>
    <n v="1"/>
    <n v="1"/>
  </r>
  <r>
    <n v="1"/>
    <n v="3"/>
    <x v="0"/>
    <s v="RENDIDA"/>
    <s v="2018-05-23"/>
    <x v="275"/>
    <x v="0"/>
    <x v="2"/>
    <n v="1"/>
    <n v="1"/>
  </r>
  <r>
    <n v="1"/>
    <n v="3"/>
    <x v="0"/>
    <s v="RENDIDA"/>
    <s v="2018-05-25"/>
    <x v="276"/>
    <x v="0"/>
    <x v="2"/>
    <n v="1"/>
    <n v="1"/>
  </r>
  <r>
    <n v="1"/>
    <n v="3"/>
    <x v="0"/>
    <s v="RENDIDA"/>
    <s v="2018-05-25"/>
    <x v="277"/>
    <x v="0"/>
    <x v="2"/>
    <n v="1"/>
    <n v="1"/>
  </r>
  <r>
    <n v="1"/>
    <n v="3"/>
    <x v="0"/>
    <s v="RENDIDA"/>
    <s v="2018-05-25"/>
    <x v="278"/>
    <x v="0"/>
    <x v="2"/>
    <n v="1"/>
    <n v="1"/>
  </r>
  <r>
    <n v="1"/>
    <n v="3"/>
    <x v="0"/>
    <s v="RENDIDA"/>
    <s v="2018-05-25"/>
    <x v="279"/>
    <x v="0"/>
    <x v="2"/>
    <n v="1"/>
    <n v="1"/>
  </r>
  <r>
    <n v="1"/>
    <n v="3"/>
    <x v="0"/>
    <s v="RENDIDA"/>
    <s v="2018-05-25"/>
    <x v="280"/>
    <x v="0"/>
    <x v="2"/>
    <n v="1"/>
    <n v="1"/>
  </r>
  <r>
    <n v="1"/>
    <n v="3"/>
    <x v="0"/>
    <s v="RENDIDA"/>
    <s v="2018-05-25"/>
    <x v="281"/>
    <x v="0"/>
    <x v="2"/>
    <n v="1"/>
    <n v="1"/>
  </r>
  <r>
    <n v="1"/>
    <n v="3"/>
    <x v="0"/>
    <s v="RENDIDA"/>
    <s v="2018-05-25"/>
    <x v="282"/>
    <x v="0"/>
    <x v="2"/>
    <n v="1"/>
    <n v="1"/>
  </r>
  <r>
    <n v="1"/>
    <n v="3"/>
    <x v="0"/>
    <s v="RENDIDA"/>
    <s v="2018-05-25"/>
    <x v="283"/>
    <x v="0"/>
    <x v="2"/>
    <n v="1"/>
    <n v="1"/>
  </r>
  <r>
    <n v="1"/>
    <n v="3"/>
    <x v="0"/>
    <s v="RENDIDA"/>
    <s v="2018-05-25"/>
    <x v="284"/>
    <x v="0"/>
    <x v="2"/>
    <n v="1"/>
    <n v="1"/>
  </r>
  <r>
    <n v="1"/>
    <n v="3"/>
    <x v="0"/>
    <s v="RENDIDA"/>
    <s v="2018-05-25"/>
    <x v="285"/>
    <x v="0"/>
    <x v="2"/>
    <n v="1"/>
    <n v="1"/>
  </r>
  <r>
    <n v="1"/>
    <n v="3"/>
    <x v="0"/>
    <s v="RENDIDA"/>
    <s v="2018-05-25"/>
    <x v="286"/>
    <x v="0"/>
    <x v="2"/>
    <n v="1"/>
    <n v="1"/>
  </r>
  <r>
    <n v="1"/>
    <n v="3"/>
    <x v="0"/>
    <s v="RENDIDA"/>
    <s v="2018-05-25"/>
    <x v="287"/>
    <x v="0"/>
    <x v="2"/>
    <n v="1"/>
    <n v="1"/>
  </r>
  <r>
    <n v="1"/>
    <n v="3"/>
    <x v="0"/>
    <s v="RENDIDA"/>
    <s v="2018-05-25"/>
    <x v="288"/>
    <x v="0"/>
    <x v="2"/>
    <n v="1"/>
    <n v="1"/>
  </r>
  <r>
    <n v="1"/>
    <n v="3"/>
    <x v="0"/>
    <s v="RENDIDA"/>
    <s v="2018-05-25"/>
    <x v="289"/>
    <x v="0"/>
    <x v="2"/>
    <n v="1"/>
    <n v="1"/>
  </r>
  <r>
    <n v="1"/>
    <n v="3"/>
    <x v="0"/>
    <s v="RENDIDA"/>
    <s v="2018-05-25"/>
    <x v="290"/>
    <x v="0"/>
    <x v="2"/>
    <n v="1"/>
    <n v="1"/>
  </r>
  <r>
    <n v="1"/>
    <n v="3"/>
    <x v="0"/>
    <s v="RENDIDA"/>
    <s v="2018-05-25"/>
    <x v="291"/>
    <x v="0"/>
    <x v="2"/>
    <n v="1"/>
    <n v="1"/>
  </r>
  <r>
    <n v="1"/>
    <n v="3"/>
    <x v="0"/>
    <s v="RENDIDA"/>
    <s v="2018-05-28"/>
    <x v="292"/>
    <x v="0"/>
    <x v="2"/>
    <n v="1"/>
    <n v="1"/>
  </r>
  <r>
    <n v="1"/>
    <n v="3"/>
    <x v="0"/>
    <s v="RENDIDA"/>
    <s v="2018-05-28"/>
    <x v="293"/>
    <x v="0"/>
    <x v="2"/>
    <n v="1"/>
    <n v="1"/>
  </r>
  <r>
    <n v="1"/>
    <n v="3"/>
    <x v="0"/>
    <s v="RENDIDA"/>
    <s v="2018-05-28"/>
    <x v="294"/>
    <x v="0"/>
    <x v="2"/>
    <n v="1"/>
    <n v="1"/>
  </r>
  <r>
    <n v="1"/>
    <n v="3"/>
    <x v="0"/>
    <s v="RENDIDA"/>
    <s v="2018-05-28"/>
    <x v="295"/>
    <x v="0"/>
    <x v="2"/>
    <n v="1"/>
    <n v="1"/>
  </r>
  <r>
    <n v="1"/>
    <n v="3"/>
    <x v="0"/>
    <s v="RENDIDA"/>
    <s v="2018-05-28"/>
    <x v="296"/>
    <x v="0"/>
    <x v="2"/>
    <n v="1"/>
    <n v="1"/>
  </r>
  <r>
    <n v="1"/>
    <n v="3"/>
    <x v="0"/>
    <s v="RENDIDA"/>
    <s v="2018-05-28"/>
    <x v="297"/>
    <x v="0"/>
    <x v="2"/>
    <n v="1"/>
    <n v="1"/>
  </r>
  <r>
    <n v="1"/>
    <n v="3"/>
    <x v="0"/>
    <s v="RENDIDA"/>
    <s v="2018-05-28"/>
    <x v="298"/>
    <x v="0"/>
    <x v="2"/>
    <n v="1"/>
    <n v="1"/>
  </r>
  <r>
    <n v="1"/>
    <n v="3"/>
    <x v="0"/>
    <s v="RENDIDA"/>
    <s v="2018-05-28"/>
    <x v="299"/>
    <x v="0"/>
    <x v="2"/>
    <n v="1"/>
    <n v="1"/>
  </r>
  <r>
    <n v="1"/>
    <n v="3"/>
    <x v="0"/>
    <s v="RENDIDA"/>
    <s v="2018-05-28"/>
    <x v="300"/>
    <x v="0"/>
    <x v="2"/>
    <n v="1"/>
    <n v="1"/>
  </r>
  <r>
    <n v="1"/>
    <n v="3"/>
    <x v="0"/>
    <s v="RENDIDA"/>
    <s v="2018-05-28"/>
    <x v="301"/>
    <x v="0"/>
    <x v="2"/>
    <n v="1"/>
    <n v="1"/>
  </r>
  <r>
    <n v="1"/>
    <n v="3"/>
    <x v="0"/>
    <s v="RENDIDA"/>
    <s v="2018-05-28"/>
    <x v="302"/>
    <x v="0"/>
    <x v="2"/>
    <n v="1"/>
    <n v="1"/>
  </r>
  <r>
    <n v="1"/>
    <n v="3"/>
    <x v="0"/>
    <s v="RENDIDA"/>
    <s v="2018-05-30"/>
    <x v="303"/>
    <x v="0"/>
    <x v="2"/>
    <n v="1"/>
    <n v="1"/>
  </r>
  <r>
    <n v="1"/>
    <n v="3"/>
    <x v="0"/>
    <s v="RENDIDA"/>
    <s v="2018-05-30"/>
    <x v="304"/>
    <x v="0"/>
    <x v="2"/>
    <n v="1"/>
    <n v="1"/>
  </r>
  <r>
    <n v="1"/>
    <n v="3"/>
    <x v="0"/>
    <s v="SIN RENDIR"/>
    <s v="2018-05-31"/>
    <x v="305"/>
    <x v="0"/>
    <x v="2"/>
    <n v="0"/>
    <n v="1"/>
  </r>
  <r>
    <n v="1"/>
    <n v="3"/>
    <x v="0"/>
    <s v="RENDIDA"/>
    <s v="2018-05-31"/>
    <x v="306"/>
    <x v="0"/>
    <x v="2"/>
    <n v="1"/>
    <n v="1"/>
  </r>
  <r>
    <n v="1"/>
    <n v="3"/>
    <x v="0"/>
    <s v="RENDIDA"/>
    <s v="2018-05-31"/>
    <x v="307"/>
    <x v="0"/>
    <x v="2"/>
    <n v="1"/>
    <n v="1"/>
  </r>
  <r>
    <n v="1"/>
    <n v="3"/>
    <x v="0"/>
    <s v="RENDIDA"/>
    <s v="2018-05-31"/>
    <x v="308"/>
    <x v="0"/>
    <x v="2"/>
    <n v="1"/>
    <n v="1"/>
  </r>
  <r>
    <n v="1"/>
    <n v="3"/>
    <x v="0"/>
    <s v="RENDIDA"/>
    <s v="2018-05-31"/>
    <x v="309"/>
    <x v="0"/>
    <x v="2"/>
    <n v="1"/>
    <n v="1"/>
  </r>
  <r>
    <n v="1"/>
    <n v="3"/>
    <x v="0"/>
    <s v="RENDIDA"/>
    <s v="2018-05-31"/>
    <x v="310"/>
    <x v="0"/>
    <x v="2"/>
    <n v="1"/>
    <n v="1"/>
  </r>
  <r>
    <n v="1"/>
    <n v="3"/>
    <x v="0"/>
    <s v="RENDIDA"/>
    <s v="2018-05-31"/>
    <x v="311"/>
    <x v="0"/>
    <x v="2"/>
    <n v="1"/>
    <n v="1"/>
  </r>
  <r>
    <n v="1"/>
    <n v="3"/>
    <x v="1"/>
    <s v="RENDIDA"/>
    <s v="2018-03-29"/>
    <x v="312"/>
    <x v="0"/>
    <x v="0"/>
    <n v="1"/>
    <n v="1"/>
  </r>
  <r>
    <n v="1"/>
    <n v="3"/>
    <x v="1"/>
    <s v="RENDIDA"/>
    <s v="2018-03-29"/>
    <x v="313"/>
    <x v="0"/>
    <x v="0"/>
    <n v="1"/>
    <n v="1"/>
  </r>
  <r>
    <n v="1"/>
    <n v="3"/>
    <x v="1"/>
    <s v="RENDIDA"/>
    <s v="2018-04-02"/>
    <x v="314"/>
    <x v="0"/>
    <x v="1"/>
    <n v="1"/>
    <n v="1"/>
  </r>
  <r>
    <n v="1"/>
    <n v="3"/>
    <x v="1"/>
    <s v="RENDIDA"/>
    <s v="2018-04-10"/>
    <x v="315"/>
    <x v="0"/>
    <x v="1"/>
    <n v="1"/>
    <n v="1"/>
  </r>
  <r>
    <n v="1"/>
    <n v="3"/>
    <x v="1"/>
    <s v="RENDIDA"/>
    <s v="2018-04-02"/>
    <x v="316"/>
    <x v="0"/>
    <x v="1"/>
    <n v="1"/>
    <n v="1"/>
  </r>
  <r>
    <n v="1"/>
    <n v="3"/>
    <x v="1"/>
    <s v="RENDIDA"/>
    <s v="2018-04-03"/>
    <x v="317"/>
    <x v="0"/>
    <x v="1"/>
    <n v="1"/>
    <n v="1"/>
  </r>
  <r>
    <n v="1"/>
    <n v="3"/>
    <x v="1"/>
    <s v="RENDIDA"/>
    <s v="2018-04-05"/>
    <x v="318"/>
    <x v="0"/>
    <x v="1"/>
    <n v="1"/>
    <n v="1"/>
  </r>
  <r>
    <n v="1"/>
    <n v="3"/>
    <x v="1"/>
    <s v="RENDIDA"/>
    <s v="2018-04-06"/>
    <x v="319"/>
    <x v="0"/>
    <x v="1"/>
    <n v="1"/>
    <n v="1"/>
  </r>
  <r>
    <n v="1"/>
    <n v="3"/>
    <x v="1"/>
    <s v="RENDIDA"/>
    <s v="2018-04-06"/>
    <x v="320"/>
    <x v="0"/>
    <x v="1"/>
    <n v="1"/>
    <n v="1"/>
  </r>
  <r>
    <n v="1"/>
    <n v="3"/>
    <x v="1"/>
    <s v="RENDIDA"/>
    <s v="2018-04-10"/>
    <x v="321"/>
    <x v="0"/>
    <x v="1"/>
    <n v="1"/>
    <n v="1"/>
  </r>
  <r>
    <n v="1"/>
    <n v="3"/>
    <x v="1"/>
    <s v="RENDIDA"/>
    <s v="2018-04-10"/>
    <x v="322"/>
    <x v="0"/>
    <x v="1"/>
    <n v="1"/>
    <n v="1"/>
  </r>
  <r>
    <n v="1"/>
    <n v="3"/>
    <x v="1"/>
    <s v="RENDIDA"/>
    <s v="2018-04-10"/>
    <x v="323"/>
    <x v="0"/>
    <x v="1"/>
    <n v="1"/>
    <n v="1"/>
  </r>
  <r>
    <n v="1"/>
    <n v="3"/>
    <x v="1"/>
    <s v="RENDIDA"/>
    <s v="2018-04-19"/>
    <x v="324"/>
    <x v="0"/>
    <x v="1"/>
    <n v="1"/>
    <n v="1"/>
  </r>
  <r>
    <n v="1"/>
    <n v="3"/>
    <x v="1"/>
    <s v="RENDIDA"/>
    <s v="2018-04-19"/>
    <x v="325"/>
    <x v="0"/>
    <x v="1"/>
    <n v="1"/>
    <n v="1"/>
  </r>
  <r>
    <n v="1"/>
    <n v="3"/>
    <x v="1"/>
    <s v="RENDIDA"/>
    <s v="2018-04-19"/>
    <x v="326"/>
    <x v="0"/>
    <x v="1"/>
    <n v="1"/>
    <n v="1"/>
  </r>
  <r>
    <n v="1"/>
    <n v="3"/>
    <x v="1"/>
    <s v="RENDIDA"/>
    <s v="2018-04-19"/>
    <x v="327"/>
    <x v="0"/>
    <x v="1"/>
    <n v="1"/>
    <n v="1"/>
  </r>
  <r>
    <n v="1"/>
    <n v="3"/>
    <x v="1"/>
    <s v="RENDIDA"/>
    <s v="2018-04-19"/>
    <x v="328"/>
    <x v="0"/>
    <x v="1"/>
    <n v="1"/>
    <n v="1"/>
  </r>
  <r>
    <n v="1"/>
    <n v="3"/>
    <x v="1"/>
    <s v="RENDIDA"/>
    <s v="2018-04-19"/>
    <x v="329"/>
    <x v="0"/>
    <x v="1"/>
    <n v="1"/>
    <n v="1"/>
  </r>
  <r>
    <n v="1"/>
    <n v="3"/>
    <x v="1"/>
    <s v="RENDIDA"/>
    <s v="2018-04-19"/>
    <x v="330"/>
    <x v="0"/>
    <x v="1"/>
    <n v="1"/>
    <n v="1"/>
  </r>
  <r>
    <n v="1"/>
    <n v="3"/>
    <x v="1"/>
    <s v="RENDIDA"/>
    <s v="2018-04-19"/>
    <x v="331"/>
    <x v="0"/>
    <x v="1"/>
    <n v="1"/>
    <n v="1"/>
  </r>
  <r>
    <n v="1"/>
    <n v="3"/>
    <x v="1"/>
    <s v="RENDIDA"/>
    <s v="2018-04-19"/>
    <x v="332"/>
    <x v="0"/>
    <x v="1"/>
    <n v="1"/>
    <n v="1"/>
  </r>
  <r>
    <n v="1"/>
    <n v="3"/>
    <x v="1"/>
    <s v="SIN RENDIR"/>
    <s v="2018-04-11"/>
    <x v="333"/>
    <x v="0"/>
    <x v="1"/>
    <n v="0"/>
    <n v="1"/>
  </r>
  <r>
    <n v="1"/>
    <n v="3"/>
    <x v="1"/>
    <s v="RENDIDA"/>
    <s v="2018-04-17"/>
    <x v="334"/>
    <x v="0"/>
    <x v="1"/>
    <n v="1"/>
    <n v="1"/>
  </r>
  <r>
    <n v="1"/>
    <n v="3"/>
    <x v="1"/>
    <s v="RENDIDA"/>
    <s v="2018-04-17"/>
    <x v="335"/>
    <x v="0"/>
    <x v="1"/>
    <n v="1"/>
    <n v="1"/>
  </r>
  <r>
    <n v="1"/>
    <n v="3"/>
    <x v="1"/>
    <s v="RENDIDA"/>
    <s v="2018-04-17"/>
    <x v="336"/>
    <x v="0"/>
    <x v="1"/>
    <n v="1"/>
    <n v="1"/>
  </r>
  <r>
    <n v="1"/>
    <n v="3"/>
    <x v="1"/>
    <s v="RENDIDA"/>
    <s v="2018-04-17"/>
    <x v="337"/>
    <x v="0"/>
    <x v="1"/>
    <n v="1"/>
    <n v="1"/>
  </r>
  <r>
    <n v="1"/>
    <n v="3"/>
    <x v="1"/>
    <s v="SIN RENDIR"/>
    <s v="2018-04-17"/>
    <x v="338"/>
    <x v="0"/>
    <x v="1"/>
    <n v="0"/>
    <n v="1"/>
  </r>
  <r>
    <n v="1"/>
    <n v="3"/>
    <x v="1"/>
    <s v="RENDIDA"/>
    <s v="2018-04-17"/>
    <x v="339"/>
    <x v="0"/>
    <x v="1"/>
    <n v="1"/>
    <n v="1"/>
  </r>
  <r>
    <n v="1"/>
    <n v="3"/>
    <x v="1"/>
    <s v="RENDIDA"/>
    <s v="2018-04-17"/>
    <x v="340"/>
    <x v="0"/>
    <x v="1"/>
    <n v="1"/>
    <n v="1"/>
  </r>
  <r>
    <n v="1"/>
    <n v="3"/>
    <x v="1"/>
    <s v="RENDIDA"/>
    <s v="2018-04-18"/>
    <x v="341"/>
    <x v="0"/>
    <x v="1"/>
    <n v="1"/>
    <n v="1"/>
  </r>
  <r>
    <n v="1"/>
    <n v="3"/>
    <x v="1"/>
    <s v="RENDIDA"/>
    <s v="2018-04-18"/>
    <x v="342"/>
    <x v="0"/>
    <x v="1"/>
    <n v="1"/>
    <n v="1"/>
  </r>
  <r>
    <n v="1"/>
    <n v="3"/>
    <x v="1"/>
    <s v="RENDIDA"/>
    <s v="2018-04-18"/>
    <x v="343"/>
    <x v="0"/>
    <x v="1"/>
    <n v="1"/>
    <n v="1"/>
  </r>
  <r>
    <n v="1"/>
    <n v="3"/>
    <x v="1"/>
    <s v="RENDIDA"/>
    <s v="2018-04-18"/>
    <x v="344"/>
    <x v="0"/>
    <x v="1"/>
    <n v="1"/>
    <n v="1"/>
  </r>
  <r>
    <n v="1"/>
    <n v="3"/>
    <x v="1"/>
    <s v="RENDIDA"/>
    <s v="2018-04-18"/>
    <x v="345"/>
    <x v="0"/>
    <x v="1"/>
    <n v="1"/>
    <n v="1"/>
  </r>
  <r>
    <n v="1"/>
    <n v="3"/>
    <x v="1"/>
    <s v="RENDIDA"/>
    <s v="2018-04-19"/>
    <x v="346"/>
    <x v="0"/>
    <x v="1"/>
    <n v="1"/>
    <n v="1"/>
  </r>
  <r>
    <n v="1"/>
    <n v="3"/>
    <x v="1"/>
    <s v="RENDIDA"/>
    <s v="2018-04-19"/>
    <x v="347"/>
    <x v="0"/>
    <x v="1"/>
    <n v="1"/>
    <n v="1"/>
  </r>
  <r>
    <n v="1"/>
    <n v="3"/>
    <x v="1"/>
    <s v="RENDIDA"/>
    <s v="2018-04-23"/>
    <x v="348"/>
    <x v="0"/>
    <x v="1"/>
    <n v="1"/>
    <n v="1"/>
  </r>
  <r>
    <n v="1"/>
    <n v="3"/>
    <x v="1"/>
    <s v="RENDIDA"/>
    <s v="2018-04-24"/>
    <x v="349"/>
    <x v="0"/>
    <x v="1"/>
    <n v="1"/>
    <n v="1"/>
  </r>
  <r>
    <n v="1"/>
    <n v="3"/>
    <x v="1"/>
    <s v="RENDIDA"/>
    <s v="2018-04-24"/>
    <x v="350"/>
    <x v="0"/>
    <x v="1"/>
    <n v="1"/>
    <n v="1"/>
  </r>
  <r>
    <n v="1"/>
    <n v="3"/>
    <x v="1"/>
    <s v="RENDIDA"/>
    <s v="2018-04-25"/>
    <x v="351"/>
    <x v="0"/>
    <x v="1"/>
    <n v="1"/>
    <n v="1"/>
  </r>
  <r>
    <n v="1"/>
    <n v="3"/>
    <x v="1"/>
    <s v="RENDIDA"/>
    <s v="2018-04-25"/>
    <x v="352"/>
    <x v="0"/>
    <x v="1"/>
    <n v="1"/>
    <n v="1"/>
  </r>
  <r>
    <n v="1"/>
    <n v="3"/>
    <x v="1"/>
    <s v="RENDIDA"/>
    <s v="2018-04-25"/>
    <x v="353"/>
    <x v="0"/>
    <x v="1"/>
    <n v="1"/>
    <n v="1"/>
  </r>
  <r>
    <n v="1"/>
    <n v="3"/>
    <x v="1"/>
    <s v="RENDIDA"/>
    <s v="2018-04-25"/>
    <x v="354"/>
    <x v="0"/>
    <x v="1"/>
    <n v="1"/>
    <n v="1"/>
  </r>
  <r>
    <n v="1"/>
    <n v="3"/>
    <x v="1"/>
    <s v="RENDIDA"/>
    <s v="2018-05-30"/>
    <x v="355"/>
    <x v="0"/>
    <x v="2"/>
    <n v="1"/>
    <n v="1"/>
  </r>
  <r>
    <n v="1"/>
    <n v="3"/>
    <x v="1"/>
    <s v="RENDIDA"/>
    <s v="2018-05-30"/>
    <x v="356"/>
    <x v="0"/>
    <x v="2"/>
    <n v="1"/>
    <n v="1"/>
  </r>
  <r>
    <n v="1"/>
    <n v="3"/>
    <x v="1"/>
    <s v="RENDIDA"/>
    <s v="2018-05-30"/>
    <x v="357"/>
    <x v="0"/>
    <x v="2"/>
    <n v="1"/>
    <n v="1"/>
  </r>
  <r>
    <n v="1"/>
    <n v="3"/>
    <x v="1"/>
    <s v="RENDIDA"/>
    <s v="2018-05-30"/>
    <x v="358"/>
    <x v="0"/>
    <x v="2"/>
    <n v="1"/>
    <n v="1"/>
  </r>
  <r>
    <n v="1"/>
    <n v="3"/>
    <x v="2"/>
    <s v="RENDIDA"/>
    <s v="2018-03-05"/>
    <x v="359"/>
    <x v="0"/>
    <x v="0"/>
    <n v="1"/>
    <n v="1"/>
  </r>
  <r>
    <n v="1"/>
    <n v="3"/>
    <x v="2"/>
    <s v="RENDIDA"/>
    <s v="2018-03-06"/>
    <x v="360"/>
    <x v="0"/>
    <x v="0"/>
    <n v="1"/>
    <n v="1"/>
  </r>
  <r>
    <n v="1"/>
    <n v="3"/>
    <x v="2"/>
    <s v="RENDIDA"/>
    <s v="2018-03-06"/>
    <x v="361"/>
    <x v="0"/>
    <x v="0"/>
    <n v="1"/>
    <n v="1"/>
  </r>
  <r>
    <n v="1"/>
    <n v="3"/>
    <x v="2"/>
    <s v="RENDIDA"/>
    <s v="2018-03-06"/>
    <x v="362"/>
    <x v="0"/>
    <x v="0"/>
    <n v="1"/>
    <n v="1"/>
  </r>
  <r>
    <n v="1"/>
    <n v="3"/>
    <x v="2"/>
    <s v="RENDIDA"/>
    <s v="2018-03-06"/>
    <x v="363"/>
    <x v="0"/>
    <x v="0"/>
    <n v="1"/>
    <n v="1"/>
  </r>
  <r>
    <n v="1"/>
    <n v="3"/>
    <x v="2"/>
    <s v="RENDIDA"/>
    <s v="2018-03-06"/>
    <x v="364"/>
    <x v="0"/>
    <x v="0"/>
    <n v="1"/>
    <n v="1"/>
  </r>
  <r>
    <n v="1"/>
    <n v="3"/>
    <x v="2"/>
    <s v="RENDIDA"/>
    <s v="2018-03-06"/>
    <x v="365"/>
    <x v="0"/>
    <x v="0"/>
    <n v="1"/>
    <n v="1"/>
  </r>
  <r>
    <n v="1"/>
    <n v="3"/>
    <x v="2"/>
    <s v="RENDIDA"/>
    <s v="2018-03-06"/>
    <x v="366"/>
    <x v="0"/>
    <x v="0"/>
    <n v="1"/>
    <n v="1"/>
  </r>
  <r>
    <n v="1"/>
    <n v="3"/>
    <x v="2"/>
    <s v="RENDIDA"/>
    <s v="2018-03-06"/>
    <x v="367"/>
    <x v="0"/>
    <x v="0"/>
    <n v="1"/>
    <n v="1"/>
  </r>
  <r>
    <n v="1"/>
    <n v="3"/>
    <x v="2"/>
    <s v="RENDIDA"/>
    <s v="2018-03-06"/>
    <x v="368"/>
    <x v="0"/>
    <x v="0"/>
    <n v="1"/>
    <n v="1"/>
  </r>
  <r>
    <n v="1"/>
    <n v="3"/>
    <x v="2"/>
    <s v="RENDIDA"/>
    <s v="2018-03-06"/>
    <x v="369"/>
    <x v="0"/>
    <x v="0"/>
    <n v="1"/>
    <n v="1"/>
  </r>
  <r>
    <n v="1"/>
    <n v="3"/>
    <x v="2"/>
    <s v="RENDIDA"/>
    <s v="2018-03-06"/>
    <x v="370"/>
    <x v="0"/>
    <x v="0"/>
    <n v="1"/>
    <n v="1"/>
  </r>
  <r>
    <n v="1"/>
    <n v="3"/>
    <x v="2"/>
    <s v="RENDIDA"/>
    <s v="2018-03-06"/>
    <x v="371"/>
    <x v="0"/>
    <x v="0"/>
    <n v="1"/>
    <n v="1"/>
  </r>
  <r>
    <n v="1"/>
    <n v="3"/>
    <x v="2"/>
    <s v="RENDIDA"/>
    <s v="2018-03-06"/>
    <x v="372"/>
    <x v="0"/>
    <x v="0"/>
    <n v="1"/>
    <n v="1"/>
  </r>
  <r>
    <n v="1"/>
    <n v="3"/>
    <x v="2"/>
    <s v="RENDIDA"/>
    <s v="2018-03-06"/>
    <x v="373"/>
    <x v="0"/>
    <x v="0"/>
    <n v="1"/>
    <n v="1"/>
  </r>
  <r>
    <n v="1"/>
    <n v="3"/>
    <x v="2"/>
    <s v="RENDIDA"/>
    <s v="2018-03-06"/>
    <x v="374"/>
    <x v="0"/>
    <x v="0"/>
    <n v="1"/>
    <n v="1"/>
  </r>
  <r>
    <n v="1"/>
    <n v="3"/>
    <x v="2"/>
    <s v="RENDIDA"/>
    <s v="2018-03-06"/>
    <x v="375"/>
    <x v="0"/>
    <x v="0"/>
    <n v="1"/>
    <n v="1"/>
  </r>
  <r>
    <n v="1"/>
    <n v="3"/>
    <x v="2"/>
    <s v="RENDIDA"/>
    <s v="2018-03-06"/>
    <x v="376"/>
    <x v="0"/>
    <x v="0"/>
    <n v="1"/>
    <n v="1"/>
  </r>
  <r>
    <n v="1"/>
    <n v="3"/>
    <x v="2"/>
    <s v="RENDIDA"/>
    <s v="2018-03-06"/>
    <x v="377"/>
    <x v="0"/>
    <x v="0"/>
    <n v="1"/>
    <n v="1"/>
  </r>
  <r>
    <n v="1"/>
    <n v="3"/>
    <x v="2"/>
    <s v="RENDIDA"/>
    <s v="2018-03-06"/>
    <x v="378"/>
    <x v="0"/>
    <x v="0"/>
    <n v="1"/>
    <n v="1"/>
  </r>
  <r>
    <n v="1"/>
    <n v="3"/>
    <x v="2"/>
    <s v="RENDIDA"/>
    <s v="2018-03-06"/>
    <x v="379"/>
    <x v="0"/>
    <x v="0"/>
    <n v="1"/>
    <n v="1"/>
  </r>
  <r>
    <n v="1"/>
    <n v="3"/>
    <x v="2"/>
    <s v="RENDIDA"/>
    <s v="2018-03-06"/>
    <x v="380"/>
    <x v="0"/>
    <x v="0"/>
    <n v="1"/>
    <n v="1"/>
  </r>
  <r>
    <n v="1"/>
    <n v="3"/>
    <x v="2"/>
    <s v="RENDIDA"/>
    <s v="2018-03-06"/>
    <x v="381"/>
    <x v="0"/>
    <x v="0"/>
    <n v="1"/>
    <n v="1"/>
  </r>
  <r>
    <n v="1"/>
    <n v="3"/>
    <x v="2"/>
    <s v="RENDIDA"/>
    <s v="2018-03-06"/>
    <x v="382"/>
    <x v="0"/>
    <x v="0"/>
    <n v="1"/>
    <n v="1"/>
  </r>
  <r>
    <n v="1"/>
    <n v="3"/>
    <x v="2"/>
    <s v="RENDIDA"/>
    <s v="2018-03-06"/>
    <x v="383"/>
    <x v="0"/>
    <x v="0"/>
    <n v="1"/>
    <n v="1"/>
  </r>
  <r>
    <n v="1"/>
    <n v="3"/>
    <x v="2"/>
    <s v="RENDIDA"/>
    <s v="2018-03-06"/>
    <x v="384"/>
    <x v="0"/>
    <x v="0"/>
    <n v="1"/>
    <n v="1"/>
  </r>
  <r>
    <n v="1"/>
    <n v="3"/>
    <x v="2"/>
    <s v="RENDIDA"/>
    <s v="2018-03-06"/>
    <x v="385"/>
    <x v="0"/>
    <x v="0"/>
    <n v="1"/>
    <n v="1"/>
  </r>
  <r>
    <n v="1"/>
    <n v="3"/>
    <x v="2"/>
    <s v="RENDIDA"/>
    <s v="2018-03-06"/>
    <x v="386"/>
    <x v="0"/>
    <x v="0"/>
    <n v="1"/>
    <n v="1"/>
  </r>
  <r>
    <n v="1"/>
    <n v="3"/>
    <x v="2"/>
    <s v="RENDIDA"/>
    <s v="2018-03-07"/>
    <x v="387"/>
    <x v="0"/>
    <x v="0"/>
    <n v="1"/>
    <n v="1"/>
  </r>
  <r>
    <n v="1"/>
    <n v="3"/>
    <x v="2"/>
    <s v="RENDIDA"/>
    <s v="2018-03-07"/>
    <x v="388"/>
    <x v="0"/>
    <x v="0"/>
    <n v="1"/>
    <n v="1"/>
  </r>
  <r>
    <n v="1"/>
    <n v="3"/>
    <x v="2"/>
    <s v="RENDIDA"/>
    <s v="2018-03-09"/>
    <x v="389"/>
    <x v="0"/>
    <x v="0"/>
    <n v="1"/>
    <n v="1"/>
  </r>
  <r>
    <n v="1"/>
    <n v="3"/>
    <x v="2"/>
    <s v="RENDIDA"/>
    <s v="2018-03-09"/>
    <x v="390"/>
    <x v="0"/>
    <x v="0"/>
    <n v="1"/>
    <n v="1"/>
  </r>
  <r>
    <n v="1"/>
    <n v="3"/>
    <x v="2"/>
    <s v="RENDIDA"/>
    <s v="2018-03-09"/>
    <x v="391"/>
    <x v="0"/>
    <x v="0"/>
    <n v="1"/>
    <n v="1"/>
  </r>
  <r>
    <n v="1"/>
    <n v="3"/>
    <x v="2"/>
    <s v="RENDIDA"/>
    <s v="2018-03-09"/>
    <x v="392"/>
    <x v="0"/>
    <x v="0"/>
    <n v="1"/>
    <n v="1"/>
  </r>
  <r>
    <n v="1"/>
    <n v="3"/>
    <x v="2"/>
    <s v="RENDIDA"/>
    <s v="2018-03-09"/>
    <x v="393"/>
    <x v="0"/>
    <x v="0"/>
    <n v="1"/>
    <n v="1"/>
  </r>
  <r>
    <n v="1"/>
    <n v="3"/>
    <x v="2"/>
    <s v="RENDIDA"/>
    <s v="2018-03-09"/>
    <x v="394"/>
    <x v="0"/>
    <x v="0"/>
    <n v="1"/>
    <n v="1"/>
  </r>
  <r>
    <n v="1"/>
    <n v="3"/>
    <x v="2"/>
    <s v="RENDIDA"/>
    <s v="2018-03-09"/>
    <x v="395"/>
    <x v="0"/>
    <x v="0"/>
    <n v="1"/>
    <n v="1"/>
  </r>
  <r>
    <n v="1"/>
    <n v="3"/>
    <x v="2"/>
    <s v="RENDIDA"/>
    <s v="2018-03-09"/>
    <x v="396"/>
    <x v="0"/>
    <x v="0"/>
    <n v="1"/>
    <n v="1"/>
  </r>
  <r>
    <n v="1"/>
    <n v="3"/>
    <x v="2"/>
    <s v="RENDIDA"/>
    <s v="2018-03-09"/>
    <x v="397"/>
    <x v="0"/>
    <x v="0"/>
    <n v="1"/>
    <n v="1"/>
  </r>
  <r>
    <n v="1"/>
    <n v="3"/>
    <x v="2"/>
    <s v="RENDIDA"/>
    <s v="2018-03-09"/>
    <x v="398"/>
    <x v="0"/>
    <x v="0"/>
    <n v="1"/>
    <n v="1"/>
  </r>
  <r>
    <n v="1"/>
    <n v="3"/>
    <x v="2"/>
    <s v="RENDIDA"/>
    <s v="2018-03-09"/>
    <x v="399"/>
    <x v="0"/>
    <x v="0"/>
    <n v="1"/>
    <n v="1"/>
  </r>
  <r>
    <n v="1"/>
    <n v="3"/>
    <x v="2"/>
    <s v="RENDIDA"/>
    <s v="2018-03-09"/>
    <x v="400"/>
    <x v="0"/>
    <x v="0"/>
    <n v="1"/>
    <n v="1"/>
  </r>
  <r>
    <n v="1"/>
    <n v="3"/>
    <x v="2"/>
    <s v="RENDIDA"/>
    <s v="2018-03-09"/>
    <x v="401"/>
    <x v="0"/>
    <x v="0"/>
    <n v="1"/>
    <n v="1"/>
  </r>
  <r>
    <n v="1"/>
    <n v="3"/>
    <x v="2"/>
    <s v="RENDIDA"/>
    <s v="2018-03-13"/>
    <x v="402"/>
    <x v="0"/>
    <x v="0"/>
    <n v="1"/>
    <n v="1"/>
  </r>
  <r>
    <n v="1"/>
    <n v="3"/>
    <x v="2"/>
    <s v="RENDIDA"/>
    <s v="2018-03-14"/>
    <x v="403"/>
    <x v="0"/>
    <x v="0"/>
    <n v="1"/>
    <n v="1"/>
  </r>
  <r>
    <n v="1"/>
    <n v="3"/>
    <x v="2"/>
    <s v="RENDIDA"/>
    <s v="2018-03-14"/>
    <x v="404"/>
    <x v="0"/>
    <x v="0"/>
    <n v="1"/>
    <n v="1"/>
  </r>
  <r>
    <n v="1"/>
    <n v="3"/>
    <x v="2"/>
    <s v="RENDIDA"/>
    <s v="2018-03-14"/>
    <x v="405"/>
    <x v="0"/>
    <x v="0"/>
    <n v="1"/>
    <n v="1"/>
  </r>
  <r>
    <n v="1"/>
    <n v="3"/>
    <x v="2"/>
    <s v="RENDIDA"/>
    <s v="2018-03-14"/>
    <x v="406"/>
    <x v="0"/>
    <x v="0"/>
    <n v="1"/>
    <n v="1"/>
  </r>
  <r>
    <n v="1"/>
    <n v="3"/>
    <x v="2"/>
    <s v="RENDIDA"/>
    <s v="2018-03-14"/>
    <x v="407"/>
    <x v="0"/>
    <x v="0"/>
    <n v="1"/>
    <n v="1"/>
  </r>
  <r>
    <n v="1"/>
    <n v="3"/>
    <x v="2"/>
    <s v="RENDIDA"/>
    <s v="2018-03-14"/>
    <x v="408"/>
    <x v="0"/>
    <x v="0"/>
    <n v="1"/>
    <n v="1"/>
  </r>
  <r>
    <n v="1"/>
    <n v="3"/>
    <x v="2"/>
    <s v="RENDIDA"/>
    <s v="2018-03-14"/>
    <x v="409"/>
    <x v="0"/>
    <x v="0"/>
    <n v="1"/>
    <n v="1"/>
  </r>
  <r>
    <n v="1"/>
    <n v="3"/>
    <x v="2"/>
    <s v="RENDIDA"/>
    <s v="2018-03-14"/>
    <x v="410"/>
    <x v="0"/>
    <x v="0"/>
    <n v="1"/>
    <n v="1"/>
  </r>
  <r>
    <n v="1"/>
    <n v="3"/>
    <x v="2"/>
    <s v="RENDIDA"/>
    <s v="2018-03-14"/>
    <x v="411"/>
    <x v="0"/>
    <x v="0"/>
    <n v="1"/>
    <n v="1"/>
  </r>
  <r>
    <n v="1"/>
    <n v="3"/>
    <x v="2"/>
    <s v="RENDIDA"/>
    <s v="2018-03-14"/>
    <x v="412"/>
    <x v="0"/>
    <x v="0"/>
    <n v="1"/>
    <n v="1"/>
  </r>
  <r>
    <n v="1"/>
    <n v="3"/>
    <x v="2"/>
    <s v="RENDIDA"/>
    <s v="2018-03-14"/>
    <x v="413"/>
    <x v="0"/>
    <x v="0"/>
    <n v="1"/>
    <n v="1"/>
  </r>
  <r>
    <n v="1"/>
    <n v="3"/>
    <x v="2"/>
    <s v="RENDIDA"/>
    <s v="2018-03-14"/>
    <x v="414"/>
    <x v="0"/>
    <x v="0"/>
    <n v="1"/>
    <n v="1"/>
  </r>
  <r>
    <n v="1"/>
    <n v="3"/>
    <x v="2"/>
    <s v="RENDIDA"/>
    <s v="2018-03-14"/>
    <x v="415"/>
    <x v="0"/>
    <x v="0"/>
    <n v="1"/>
    <n v="1"/>
  </r>
  <r>
    <n v="1"/>
    <n v="3"/>
    <x v="2"/>
    <s v="RENDIDA"/>
    <s v="2018-03-14"/>
    <x v="416"/>
    <x v="0"/>
    <x v="0"/>
    <n v="1"/>
    <n v="1"/>
  </r>
  <r>
    <n v="1"/>
    <n v="3"/>
    <x v="2"/>
    <s v="RENDIDA"/>
    <s v="2018-03-14"/>
    <x v="417"/>
    <x v="0"/>
    <x v="0"/>
    <n v="1"/>
    <n v="1"/>
  </r>
  <r>
    <n v="1"/>
    <n v="3"/>
    <x v="2"/>
    <s v="RENDIDA"/>
    <s v="2018-03-14"/>
    <x v="418"/>
    <x v="0"/>
    <x v="0"/>
    <n v="1"/>
    <n v="1"/>
  </r>
  <r>
    <n v="1"/>
    <n v="3"/>
    <x v="2"/>
    <s v="RENDIDA"/>
    <s v="2018-03-14"/>
    <x v="419"/>
    <x v="0"/>
    <x v="0"/>
    <n v="1"/>
    <n v="1"/>
  </r>
  <r>
    <n v="1"/>
    <n v="3"/>
    <x v="2"/>
    <s v="RENDIDA"/>
    <s v="2018-03-14"/>
    <x v="420"/>
    <x v="0"/>
    <x v="0"/>
    <n v="1"/>
    <n v="1"/>
  </r>
  <r>
    <n v="1"/>
    <n v="3"/>
    <x v="2"/>
    <s v="RENDIDA"/>
    <s v="2018-03-14"/>
    <x v="421"/>
    <x v="0"/>
    <x v="0"/>
    <n v="1"/>
    <n v="1"/>
  </r>
  <r>
    <n v="1"/>
    <n v="3"/>
    <x v="2"/>
    <s v="RENDIDA"/>
    <s v="2018-03-14"/>
    <x v="422"/>
    <x v="0"/>
    <x v="0"/>
    <n v="1"/>
    <n v="1"/>
  </r>
  <r>
    <n v="1"/>
    <n v="3"/>
    <x v="2"/>
    <s v="RENDIDA"/>
    <s v="2018-03-14"/>
    <x v="423"/>
    <x v="0"/>
    <x v="0"/>
    <n v="1"/>
    <n v="1"/>
  </r>
  <r>
    <n v="1"/>
    <n v="3"/>
    <x v="2"/>
    <s v="RENDIDA"/>
    <s v="2018-03-14"/>
    <x v="424"/>
    <x v="0"/>
    <x v="0"/>
    <n v="1"/>
    <n v="1"/>
  </r>
  <r>
    <n v="1"/>
    <n v="3"/>
    <x v="2"/>
    <s v="RENDIDA"/>
    <s v="2018-03-14"/>
    <x v="425"/>
    <x v="0"/>
    <x v="0"/>
    <n v="1"/>
    <n v="1"/>
  </r>
  <r>
    <n v="1"/>
    <n v="3"/>
    <x v="2"/>
    <s v="RENDIDA"/>
    <s v="2018-03-14"/>
    <x v="426"/>
    <x v="0"/>
    <x v="0"/>
    <n v="1"/>
    <n v="1"/>
  </r>
  <r>
    <n v="1"/>
    <n v="3"/>
    <x v="2"/>
    <s v="RENDIDA"/>
    <s v="2018-03-14"/>
    <x v="427"/>
    <x v="0"/>
    <x v="0"/>
    <n v="1"/>
    <n v="1"/>
  </r>
  <r>
    <n v="1"/>
    <n v="3"/>
    <x v="2"/>
    <s v="RENDIDA"/>
    <s v="2018-03-14"/>
    <x v="428"/>
    <x v="0"/>
    <x v="0"/>
    <n v="1"/>
    <n v="1"/>
  </r>
  <r>
    <n v="1"/>
    <n v="3"/>
    <x v="2"/>
    <s v="RENDIDA"/>
    <s v="2018-03-14"/>
    <x v="429"/>
    <x v="0"/>
    <x v="0"/>
    <n v="1"/>
    <n v="1"/>
  </r>
  <r>
    <n v="1"/>
    <n v="3"/>
    <x v="2"/>
    <s v="RENDIDA"/>
    <s v="2018-03-14"/>
    <x v="430"/>
    <x v="0"/>
    <x v="0"/>
    <n v="1"/>
    <n v="1"/>
  </r>
  <r>
    <n v="1"/>
    <n v="3"/>
    <x v="2"/>
    <s v="RENDIDA"/>
    <s v="2018-03-15"/>
    <x v="431"/>
    <x v="0"/>
    <x v="0"/>
    <n v="1"/>
    <n v="1"/>
  </r>
  <r>
    <n v="1"/>
    <n v="3"/>
    <x v="2"/>
    <s v="RENDIDA"/>
    <s v="2018-03-15"/>
    <x v="432"/>
    <x v="0"/>
    <x v="0"/>
    <n v="1"/>
    <n v="1"/>
  </r>
  <r>
    <n v="1"/>
    <n v="3"/>
    <x v="2"/>
    <s v="RENDIDA"/>
    <s v="2018-03-15"/>
    <x v="433"/>
    <x v="0"/>
    <x v="0"/>
    <n v="1"/>
    <n v="1"/>
  </r>
  <r>
    <n v="1"/>
    <n v="3"/>
    <x v="2"/>
    <s v="RENDIDA"/>
    <s v="2018-03-15"/>
    <x v="434"/>
    <x v="0"/>
    <x v="0"/>
    <n v="1"/>
    <n v="1"/>
  </r>
  <r>
    <n v="1"/>
    <n v="3"/>
    <x v="2"/>
    <s v="RENDIDA"/>
    <s v="2018-03-15"/>
    <x v="435"/>
    <x v="0"/>
    <x v="0"/>
    <n v="1"/>
    <n v="1"/>
  </r>
  <r>
    <n v="1"/>
    <n v="3"/>
    <x v="2"/>
    <s v="RENDIDA"/>
    <s v="2018-03-15"/>
    <x v="436"/>
    <x v="0"/>
    <x v="0"/>
    <n v="1"/>
    <n v="1"/>
  </r>
  <r>
    <n v="1"/>
    <n v="3"/>
    <x v="2"/>
    <s v="RENDIDA"/>
    <s v="2018-03-15"/>
    <x v="437"/>
    <x v="0"/>
    <x v="0"/>
    <n v="1"/>
    <n v="1"/>
  </r>
  <r>
    <n v="1"/>
    <n v="3"/>
    <x v="2"/>
    <s v="RENDIDA"/>
    <s v="2018-03-15"/>
    <x v="438"/>
    <x v="0"/>
    <x v="0"/>
    <n v="1"/>
    <n v="1"/>
  </r>
  <r>
    <n v="1"/>
    <n v="3"/>
    <x v="2"/>
    <s v="RENDIDA"/>
    <s v="2018-03-15"/>
    <x v="439"/>
    <x v="0"/>
    <x v="0"/>
    <n v="1"/>
    <n v="1"/>
  </r>
  <r>
    <n v="1"/>
    <n v="3"/>
    <x v="2"/>
    <s v="RENDIDA"/>
    <s v="2018-03-15"/>
    <x v="440"/>
    <x v="0"/>
    <x v="0"/>
    <n v="1"/>
    <n v="1"/>
  </r>
  <r>
    <n v="1"/>
    <n v="3"/>
    <x v="2"/>
    <s v="RENDIDA"/>
    <s v="2018-03-15"/>
    <x v="441"/>
    <x v="0"/>
    <x v="0"/>
    <n v="1"/>
    <n v="1"/>
  </r>
  <r>
    <n v="1"/>
    <n v="3"/>
    <x v="2"/>
    <s v="RENDIDA"/>
    <s v="2018-03-15"/>
    <x v="442"/>
    <x v="0"/>
    <x v="0"/>
    <n v="1"/>
    <n v="1"/>
  </r>
  <r>
    <n v="1"/>
    <n v="3"/>
    <x v="2"/>
    <s v="RENDIDA"/>
    <s v="2018-03-15"/>
    <x v="443"/>
    <x v="0"/>
    <x v="0"/>
    <n v="1"/>
    <n v="1"/>
  </r>
  <r>
    <n v="1"/>
    <n v="3"/>
    <x v="2"/>
    <s v="RENDIDA"/>
    <s v="2018-03-15"/>
    <x v="444"/>
    <x v="0"/>
    <x v="0"/>
    <n v="1"/>
    <n v="1"/>
  </r>
  <r>
    <n v="1"/>
    <n v="3"/>
    <x v="2"/>
    <s v="RENDIDA"/>
    <s v="2018-03-15"/>
    <x v="445"/>
    <x v="0"/>
    <x v="0"/>
    <n v="1"/>
    <n v="1"/>
  </r>
  <r>
    <n v="1"/>
    <n v="3"/>
    <x v="2"/>
    <s v="RENDIDA"/>
    <s v="2018-03-15"/>
    <x v="446"/>
    <x v="0"/>
    <x v="0"/>
    <n v="1"/>
    <n v="1"/>
  </r>
  <r>
    <n v="1"/>
    <n v="3"/>
    <x v="2"/>
    <s v="RENDIDA"/>
    <s v="2018-03-15"/>
    <x v="447"/>
    <x v="0"/>
    <x v="0"/>
    <n v="1"/>
    <n v="1"/>
  </r>
  <r>
    <n v="1"/>
    <n v="3"/>
    <x v="2"/>
    <s v="RENDIDA"/>
    <s v="2018-03-15"/>
    <x v="448"/>
    <x v="0"/>
    <x v="0"/>
    <n v="1"/>
    <n v="1"/>
  </r>
  <r>
    <n v="1"/>
    <n v="3"/>
    <x v="2"/>
    <s v="RENDIDA"/>
    <s v="2018-03-22"/>
    <x v="449"/>
    <x v="0"/>
    <x v="0"/>
    <n v="1"/>
    <n v="1"/>
  </r>
  <r>
    <n v="1"/>
    <n v="3"/>
    <x v="2"/>
    <s v="RENDIDA"/>
    <s v="2018-03-22"/>
    <x v="450"/>
    <x v="0"/>
    <x v="0"/>
    <n v="1"/>
    <n v="1"/>
  </r>
  <r>
    <n v="1"/>
    <n v="3"/>
    <x v="2"/>
    <s v="RENDIDA"/>
    <s v="2018-03-22"/>
    <x v="451"/>
    <x v="0"/>
    <x v="0"/>
    <n v="1"/>
    <n v="1"/>
  </r>
  <r>
    <n v="1"/>
    <n v="3"/>
    <x v="2"/>
    <s v="RENDIDA"/>
    <s v="2018-03-22"/>
    <x v="452"/>
    <x v="0"/>
    <x v="0"/>
    <n v="1"/>
    <n v="1"/>
  </r>
  <r>
    <n v="1"/>
    <n v="3"/>
    <x v="2"/>
    <s v="RENDIDA"/>
    <s v="2018-03-22"/>
    <x v="453"/>
    <x v="0"/>
    <x v="0"/>
    <n v="1"/>
    <n v="1"/>
  </r>
  <r>
    <n v="1"/>
    <n v="3"/>
    <x v="2"/>
    <s v="RENDIDA"/>
    <s v="2018-03-22"/>
    <x v="454"/>
    <x v="0"/>
    <x v="0"/>
    <n v="1"/>
    <n v="1"/>
  </r>
  <r>
    <n v="1"/>
    <n v="3"/>
    <x v="2"/>
    <s v="RENDIDA"/>
    <s v="2018-03-22"/>
    <x v="455"/>
    <x v="0"/>
    <x v="0"/>
    <n v="1"/>
    <n v="1"/>
  </r>
  <r>
    <n v="1"/>
    <n v="3"/>
    <x v="2"/>
    <s v="RENDIDA"/>
    <s v="2018-03-22"/>
    <x v="456"/>
    <x v="0"/>
    <x v="0"/>
    <n v="1"/>
    <n v="1"/>
  </r>
  <r>
    <n v="1"/>
    <n v="3"/>
    <x v="2"/>
    <s v="RENDIDA"/>
    <s v="2018-03-22"/>
    <x v="457"/>
    <x v="0"/>
    <x v="0"/>
    <n v="1"/>
    <n v="1"/>
  </r>
  <r>
    <n v="1"/>
    <n v="3"/>
    <x v="2"/>
    <s v="RENDIDA"/>
    <s v="2018-03-22"/>
    <x v="458"/>
    <x v="0"/>
    <x v="0"/>
    <n v="1"/>
    <n v="1"/>
  </r>
  <r>
    <n v="1"/>
    <n v="3"/>
    <x v="2"/>
    <s v="RENDIDA"/>
    <s v="2018-03-22"/>
    <x v="459"/>
    <x v="0"/>
    <x v="0"/>
    <n v="1"/>
    <n v="1"/>
  </r>
  <r>
    <n v="1"/>
    <n v="3"/>
    <x v="2"/>
    <s v="RENDIDA"/>
    <s v="2018-03-22"/>
    <x v="460"/>
    <x v="0"/>
    <x v="0"/>
    <n v="1"/>
    <n v="1"/>
  </r>
  <r>
    <n v="1"/>
    <n v="3"/>
    <x v="2"/>
    <s v="RENDIDA"/>
    <s v="2018-03-22"/>
    <x v="461"/>
    <x v="0"/>
    <x v="0"/>
    <n v="1"/>
    <n v="1"/>
  </r>
  <r>
    <n v="1"/>
    <n v="3"/>
    <x v="2"/>
    <s v="RENDIDA"/>
    <s v="2018-03-22"/>
    <x v="462"/>
    <x v="0"/>
    <x v="0"/>
    <n v="1"/>
    <n v="1"/>
  </r>
  <r>
    <n v="1"/>
    <n v="3"/>
    <x v="2"/>
    <s v="RENDIDA"/>
    <s v="2018-03-22"/>
    <x v="463"/>
    <x v="0"/>
    <x v="0"/>
    <n v="1"/>
    <n v="1"/>
  </r>
  <r>
    <n v="1"/>
    <n v="3"/>
    <x v="2"/>
    <s v="RENDIDA"/>
    <s v="2018-03-22"/>
    <x v="464"/>
    <x v="0"/>
    <x v="0"/>
    <n v="1"/>
    <n v="1"/>
  </r>
  <r>
    <n v="1"/>
    <n v="3"/>
    <x v="2"/>
    <s v="RENDIDA"/>
    <s v="2018-03-22"/>
    <x v="465"/>
    <x v="0"/>
    <x v="0"/>
    <n v="1"/>
    <n v="1"/>
  </r>
  <r>
    <n v="1"/>
    <n v="3"/>
    <x v="2"/>
    <s v="RENDIDA"/>
    <s v="2018-03-22"/>
    <x v="466"/>
    <x v="0"/>
    <x v="0"/>
    <n v="1"/>
    <n v="1"/>
  </r>
  <r>
    <n v="1"/>
    <n v="3"/>
    <x v="2"/>
    <s v="RENDIDA"/>
    <s v="2018-03-22"/>
    <x v="467"/>
    <x v="0"/>
    <x v="0"/>
    <n v="1"/>
    <n v="1"/>
  </r>
  <r>
    <n v="1"/>
    <n v="3"/>
    <x v="2"/>
    <s v="RENDIDA"/>
    <s v="2018-03-22"/>
    <x v="468"/>
    <x v="0"/>
    <x v="0"/>
    <n v="1"/>
    <n v="1"/>
  </r>
  <r>
    <n v="1"/>
    <n v="3"/>
    <x v="2"/>
    <s v="RENDIDA"/>
    <s v="2018-03-22"/>
    <x v="469"/>
    <x v="0"/>
    <x v="0"/>
    <n v="1"/>
    <n v="1"/>
  </r>
  <r>
    <n v="1"/>
    <n v="3"/>
    <x v="2"/>
    <s v="RENDIDA"/>
    <s v="2018-03-22"/>
    <x v="470"/>
    <x v="0"/>
    <x v="0"/>
    <n v="1"/>
    <n v="1"/>
  </r>
  <r>
    <n v="1"/>
    <n v="3"/>
    <x v="2"/>
    <s v="RENDIDA"/>
    <s v="2018-03-22"/>
    <x v="471"/>
    <x v="0"/>
    <x v="0"/>
    <n v="1"/>
    <n v="1"/>
  </r>
  <r>
    <n v="1"/>
    <n v="3"/>
    <x v="2"/>
    <s v="RENDIDA"/>
    <s v="2018-03-22"/>
    <x v="472"/>
    <x v="0"/>
    <x v="0"/>
    <n v="1"/>
    <n v="1"/>
  </r>
  <r>
    <n v="1"/>
    <n v="3"/>
    <x v="2"/>
    <s v="RENDIDA"/>
    <s v="2018-03-22"/>
    <x v="473"/>
    <x v="0"/>
    <x v="0"/>
    <n v="1"/>
    <n v="1"/>
  </r>
  <r>
    <n v="1"/>
    <n v="3"/>
    <x v="2"/>
    <s v="RENDIDA"/>
    <s v="2018-03-22"/>
    <x v="474"/>
    <x v="0"/>
    <x v="0"/>
    <n v="1"/>
    <n v="1"/>
  </r>
  <r>
    <n v="1"/>
    <n v="3"/>
    <x v="2"/>
    <s v="RENDIDA"/>
    <s v="2018-03-22"/>
    <x v="475"/>
    <x v="0"/>
    <x v="0"/>
    <n v="1"/>
    <n v="1"/>
  </r>
  <r>
    <n v="1"/>
    <n v="3"/>
    <x v="2"/>
    <s v="RENDIDA"/>
    <s v="2018-03-22"/>
    <x v="476"/>
    <x v="0"/>
    <x v="0"/>
    <n v="1"/>
    <n v="1"/>
  </r>
  <r>
    <n v="1"/>
    <n v="3"/>
    <x v="2"/>
    <s v="RENDIDA"/>
    <s v="2018-03-22"/>
    <x v="477"/>
    <x v="0"/>
    <x v="0"/>
    <n v="1"/>
    <n v="1"/>
  </r>
  <r>
    <n v="1"/>
    <n v="3"/>
    <x v="2"/>
    <s v="RENDIDA"/>
    <s v="2018-03-22"/>
    <x v="478"/>
    <x v="0"/>
    <x v="0"/>
    <n v="1"/>
    <n v="1"/>
  </r>
  <r>
    <n v="1"/>
    <n v="3"/>
    <x v="2"/>
    <s v="RENDIDA"/>
    <s v="2018-03-22"/>
    <x v="479"/>
    <x v="0"/>
    <x v="0"/>
    <n v="1"/>
    <n v="1"/>
  </r>
  <r>
    <n v="1"/>
    <n v="3"/>
    <x v="2"/>
    <s v="RENDIDA"/>
    <s v="2018-03-22"/>
    <x v="480"/>
    <x v="0"/>
    <x v="0"/>
    <n v="1"/>
    <n v="1"/>
  </r>
  <r>
    <n v="1"/>
    <n v="3"/>
    <x v="2"/>
    <s v="RENDIDA"/>
    <s v="2018-03-22"/>
    <x v="481"/>
    <x v="0"/>
    <x v="0"/>
    <n v="1"/>
    <n v="1"/>
  </r>
  <r>
    <n v="1"/>
    <n v="3"/>
    <x v="2"/>
    <s v="RENDIDA"/>
    <s v="2018-03-22"/>
    <x v="482"/>
    <x v="0"/>
    <x v="0"/>
    <n v="1"/>
    <n v="1"/>
  </r>
  <r>
    <n v="1"/>
    <n v="3"/>
    <x v="2"/>
    <s v="RENDIDA"/>
    <s v="2018-03-22"/>
    <x v="483"/>
    <x v="0"/>
    <x v="0"/>
    <n v="1"/>
    <n v="1"/>
  </r>
  <r>
    <n v="1"/>
    <n v="3"/>
    <x v="2"/>
    <s v="RENDIDA"/>
    <s v="2018-03-22"/>
    <x v="484"/>
    <x v="0"/>
    <x v="0"/>
    <n v="1"/>
    <n v="1"/>
  </r>
  <r>
    <n v="1"/>
    <n v="3"/>
    <x v="2"/>
    <s v="RENDIDA"/>
    <s v="2018-03-22"/>
    <x v="485"/>
    <x v="0"/>
    <x v="0"/>
    <n v="1"/>
    <n v="1"/>
  </r>
  <r>
    <n v="1"/>
    <n v="3"/>
    <x v="2"/>
    <s v="RENDIDA"/>
    <s v="2018-03-22"/>
    <x v="486"/>
    <x v="0"/>
    <x v="0"/>
    <n v="1"/>
    <n v="1"/>
  </r>
  <r>
    <n v="1"/>
    <n v="3"/>
    <x v="2"/>
    <s v="RENDIDA"/>
    <s v="2018-03-22"/>
    <x v="487"/>
    <x v="0"/>
    <x v="0"/>
    <n v="1"/>
    <n v="1"/>
  </r>
  <r>
    <n v="1"/>
    <n v="3"/>
    <x v="2"/>
    <s v="RENDIDA"/>
    <s v="2018-03-22"/>
    <x v="488"/>
    <x v="0"/>
    <x v="0"/>
    <n v="1"/>
    <n v="1"/>
  </r>
  <r>
    <n v="1"/>
    <n v="3"/>
    <x v="2"/>
    <s v="RENDIDA"/>
    <s v="2018-03-22"/>
    <x v="489"/>
    <x v="0"/>
    <x v="0"/>
    <n v="1"/>
    <n v="1"/>
  </r>
  <r>
    <n v="1"/>
    <n v="3"/>
    <x v="2"/>
    <s v="RENDIDA"/>
    <s v="2018-03-22"/>
    <x v="490"/>
    <x v="0"/>
    <x v="0"/>
    <n v="1"/>
    <n v="1"/>
  </r>
  <r>
    <n v="1"/>
    <n v="3"/>
    <x v="2"/>
    <s v="RENDIDA"/>
    <s v="2018-03-27"/>
    <x v="491"/>
    <x v="0"/>
    <x v="0"/>
    <n v="1"/>
    <n v="1"/>
  </r>
  <r>
    <n v="1"/>
    <n v="3"/>
    <x v="2"/>
    <s v="RENDIDA"/>
    <s v="2018-03-27"/>
    <x v="492"/>
    <x v="0"/>
    <x v="0"/>
    <n v="1"/>
    <n v="1"/>
  </r>
  <r>
    <n v="1"/>
    <n v="3"/>
    <x v="2"/>
    <s v="RENDIDA"/>
    <s v="2018-03-27"/>
    <x v="493"/>
    <x v="0"/>
    <x v="0"/>
    <n v="1"/>
    <n v="1"/>
  </r>
  <r>
    <n v="1"/>
    <n v="3"/>
    <x v="2"/>
    <s v="RENDIDA"/>
    <s v="2018-03-27"/>
    <x v="494"/>
    <x v="0"/>
    <x v="0"/>
    <n v="1"/>
    <n v="1"/>
  </r>
  <r>
    <n v="1"/>
    <n v="3"/>
    <x v="2"/>
    <s v="RENDIDA"/>
    <s v="2018-03-27"/>
    <x v="495"/>
    <x v="0"/>
    <x v="0"/>
    <n v="1"/>
    <n v="1"/>
  </r>
  <r>
    <n v="1"/>
    <n v="3"/>
    <x v="2"/>
    <s v="RENDIDA"/>
    <s v="2018-04-04"/>
    <x v="496"/>
    <x v="0"/>
    <x v="1"/>
    <n v="1"/>
    <n v="1"/>
  </r>
  <r>
    <n v="1"/>
    <n v="3"/>
    <x v="2"/>
    <s v="RENDIDA"/>
    <s v="2018-04-04"/>
    <x v="497"/>
    <x v="0"/>
    <x v="1"/>
    <n v="1"/>
    <n v="1"/>
  </r>
  <r>
    <n v="1"/>
    <n v="3"/>
    <x v="2"/>
    <s v="RENDIDA"/>
    <s v="2018-04-04"/>
    <x v="498"/>
    <x v="0"/>
    <x v="1"/>
    <n v="1"/>
    <n v="1"/>
  </r>
  <r>
    <n v="1"/>
    <n v="3"/>
    <x v="2"/>
    <s v="RENDIDA"/>
    <s v="2018-04-04"/>
    <x v="499"/>
    <x v="0"/>
    <x v="1"/>
    <n v="1"/>
    <n v="1"/>
  </r>
  <r>
    <n v="1"/>
    <n v="3"/>
    <x v="2"/>
    <s v="RENDIDA"/>
    <s v="2018-04-04"/>
    <x v="500"/>
    <x v="0"/>
    <x v="1"/>
    <n v="1"/>
    <n v="1"/>
  </r>
  <r>
    <n v="1"/>
    <n v="3"/>
    <x v="2"/>
    <s v="RENDIDA"/>
    <s v="2018-04-04"/>
    <x v="501"/>
    <x v="0"/>
    <x v="1"/>
    <n v="1"/>
    <n v="1"/>
  </r>
  <r>
    <n v="1"/>
    <n v="3"/>
    <x v="2"/>
    <s v="RENDIDA"/>
    <s v="2018-04-04"/>
    <x v="502"/>
    <x v="0"/>
    <x v="1"/>
    <n v="1"/>
    <n v="1"/>
  </r>
  <r>
    <n v="1"/>
    <n v="3"/>
    <x v="2"/>
    <s v="RENDIDA"/>
    <s v="2018-04-04"/>
    <x v="503"/>
    <x v="0"/>
    <x v="1"/>
    <n v="1"/>
    <n v="1"/>
  </r>
  <r>
    <n v="1"/>
    <n v="3"/>
    <x v="2"/>
    <s v="RENDIDA"/>
    <s v="2018-04-04"/>
    <x v="504"/>
    <x v="0"/>
    <x v="1"/>
    <n v="1"/>
    <n v="1"/>
  </r>
  <r>
    <n v="1"/>
    <n v="3"/>
    <x v="2"/>
    <s v="RENDIDA"/>
    <s v="2018-04-04"/>
    <x v="505"/>
    <x v="0"/>
    <x v="1"/>
    <n v="1"/>
    <n v="1"/>
  </r>
  <r>
    <n v="1"/>
    <n v="3"/>
    <x v="2"/>
    <s v="RENDIDA"/>
    <s v="2018-04-04"/>
    <x v="506"/>
    <x v="0"/>
    <x v="1"/>
    <n v="1"/>
    <n v="1"/>
  </r>
  <r>
    <n v="1"/>
    <n v="3"/>
    <x v="2"/>
    <s v="RENDIDA"/>
    <s v="2018-04-04"/>
    <x v="507"/>
    <x v="0"/>
    <x v="1"/>
    <n v="1"/>
    <n v="1"/>
  </r>
  <r>
    <n v="1"/>
    <n v="3"/>
    <x v="2"/>
    <s v="RENDIDA"/>
    <s v="2018-04-04"/>
    <x v="508"/>
    <x v="0"/>
    <x v="1"/>
    <n v="1"/>
    <n v="1"/>
  </r>
  <r>
    <n v="1"/>
    <n v="3"/>
    <x v="2"/>
    <s v="RENDIDA"/>
    <s v="2018-04-04"/>
    <x v="509"/>
    <x v="0"/>
    <x v="1"/>
    <n v="1"/>
    <n v="1"/>
  </r>
  <r>
    <n v="1"/>
    <n v="3"/>
    <x v="2"/>
    <s v="RENDIDA"/>
    <s v="2018-04-04"/>
    <x v="510"/>
    <x v="0"/>
    <x v="1"/>
    <n v="1"/>
    <n v="1"/>
  </r>
  <r>
    <n v="1"/>
    <n v="3"/>
    <x v="2"/>
    <s v="RENDIDA"/>
    <s v="2018-04-04"/>
    <x v="511"/>
    <x v="0"/>
    <x v="1"/>
    <n v="1"/>
    <n v="1"/>
  </r>
  <r>
    <n v="1"/>
    <n v="3"/>
    <x v="2"/>
    <s v="RENDIDA"/>
    <s v="2018-04-09"/>
    <x v="512"/>
    <x v="0"/>
    <x v="1"/>
    <n v="1"/>
    <n v="1"/>
  </r>
  <r>
    <n v="1"/>
    <n v="3"/>
    <x v="2"/>
    <s v="RENDIDA"/>
    <s v="2018-04-09"/>
    <x v="513"/>
    <x v="0"/>
    <x v="1"/>
    <n v="1"/>
    <n v="1"/>
  </r>
  <r>
    <n v="1"/>
    <n v="3"/>
    <x v="2"/>
    <s v="RENDIDA"/>
    <s v="2018-04-09"/>
    <x v="514"/>
    <x v="0"/>
    <x v="1"/>
    <n v="1"/>
    <n v="1"/>
  </r>
  <r>
    <n v="1"/>
    <n v="3"/>
    <x v="2"/>
    <s v="RENDIDA"/>
    <s v="2018-04-09"/>
    <x v="515"/>
    <x v="0"/>
    <x v="1"/>
    <n v="1"/>
    <n v="1"/>
  </r>
  <r>
    <n v="1"/>
    <n v="3"/>
    <x v="2"/>
    <s v="RENDIDA"/>
    <s v="2018-04-09"/>
    <x v="516"/>
    <x v="0"/>
    <x v="1"/>
    <n v="1"/>
    <n v="1"/>
  </r>
  <r>
    <n v="1"/>
    <n v="3"/>
    <x v="2"/>
    <s v="RENDIDA"/>
    <s v="2018-04-09"/>
    <x v="517"/>
    <x v="0"/>
    <x v="1"/>
    <n v="1"/>
    <n v="1"/>
  </r>
  <r>
    <n v="1"/>
    <n v="3"/>
    <x v="2"/>
    <s v="RENDIDA"/>
    <s v="2018-04-09"/>
    <x v="518"/>
    <x v="0"/>
    <x v="1"/>
    <n v="1"/>
    <n v="1"/>
  </r>
  <r>
    <n v="1"/>
    <n v="3"/>
    <x v="2"/>
    <s v="RENDIDA"/>
    <s v="2018-04-09"/>
    <x v="519"/>
    <x v="0"/>
    <x v="1"/>
    <n v="1"/>
    <n v="1"/>
  </r>
  <r>
    <n v="1"/>
    <n v="3"/>
    <x v="2"/>
    <s v="RENDIDA"/>
    <s v="2018-04-09"/>
    <x v="520"/>
    <x v="0"/>
    <x v="1"/>
    <n v="1"/>
    <n v="1"/>
  </r>
  <r>
    <n v="1"/>
    <n v="3"/>
    <x v="2"/>
    <s v="RENDIDA"/>
    <s v="2018-04-09"/>
    <x v="521"/>
    <x v="0"/>
    <x v="1"/>
    <n v="1"/>
    <n v="1"/>
  </r>
  <r>
    <n v="1"/>
    <n v="3"/>
    <x v="2"/>
    <s v="RENDIDA"/>
    <s v="2018-04-09"/>
    <x v="522"/>
    <x v="0"/>
    <x v="1"/>
    <n v="1"/>
    <n v="1"/>
  </r>
  <r>
    <n v="1"/>
    <n v="3"/>
    <x v="2"/>
    <s v="RENDIDA"/>
    <s v="2018-04-09"/>
    <x v="523"/>
    <x v="0"/>
    <x v="1"/>
    <n v="1"/>
    <n v="1"/>
  </r>
  <r>
    <n v="1"/>
    <n v="3"/>
    <x v="2"/>
    <s v="RENDIDA"/>
    <s v="2018-04-09"/>
    <x v="524"/>
    <x v="0"/>
    <x v="1"/>
    <n v="1"/>
    <n v="1"/>
  </r>
  <r>
    <n v="1"/>
    <n v="3"/>
    <x v="2"/>
    <s v="RENDIDA"/>
    <s v="2018-04-09"/>
    <x v="525"/>
    <x v="0"/>
    <x v="1"/>
    <n v="1"/>
    <n v="1"/>
  </r>
  <r>
    <n v="1"/>
    <n v="3"/>
    <x v="2"/>
    <s v="RENDIDA"/>
    <s v="2018-04-09"/>
    <x v="526"/>
    <x v="0"/>
    <x v="1"/>
    <n v="1"/>
    <n v="1"/>
  </r>
  <r>
    <n v="1"/>
    <n v="3"/>
    <x v="2"/>
    <s v="RENDIDA"/>
    <s v="2018-04-09"/>
    <x v="527"/>
    <x v="0"/>
    <x v="1"/>
    <n v="1"/>
    <n v="1"/>
  </r>
  <r>
    <n v="1"/>
    <n v="3"/>
    <x v="2"/>
    <s v="RENDIDA"/>
    <s v="2018-04-09"/>
    <x v="528"/>
    <x v="0"/>
    <x v="1"/>
    <n v="1"/>
    <n v="1"/>
  </r>
  <r>
    <n v="1"/>
    <n v="3"/>
    <x v="2"/>
    <s v="RENDIDA"/>
    <s v="2018-04-09"/>
    <x v="529"/>
    <x v="0"/>
    <x v="1"/>
    <n v="1"/>
    <n v="1"/>
  </r>
  <r>
    <n v="1"/>
    <n v="3"/>
    <x v="2"/>
    <s v="RENDIDA"/>
    <s v="2018-04-09"/>
    <x v="530"/>
    <x v="0"/>
    <x v="1"/>
    <n v="1"/>
    <n v="1"/>
  </r>
  <r>
    <n v="1"/>
    <n v="3"/>
    <x v="2"/>
    <s v="RENDIDA"/>
    <s v="2018-04-09"/>
    <x v="531"/>
    <x v="0"/>
    <x v="1"/>
    <n v="1"/>
    <n v="1"/>
  </r>
  <r>
    <n v="1"/>
    <n v="3"/>
    <x v="2"/>
    <s v="RENDIDA"/>
    <s v="2018-04-09"/>
    <x v="532"/>
    <x v="0"/>
    <x v="1"/>
    <n v="1"/>
    <n v="1"/>
  </r>
  <r>
    <n v="1"/>
    <n v="3"/>
    <x v="2"/>
    <s v="RENDIDA"/>
    <s v="2018-04-09"/>
    <x v="533"/>
    <x v="0"/>
    <x v="1"/>
    <n v="1"/>
    <n v="1"/>
  </r>
  <r>
    <n v="1"/>
    <n v="3"/>
    <x v="2"/>
    <s v="RENDIDA"/>
    <s v="2018-04-09"/>
    <x v="534"/>
    <x v="0"/>
    <x v="1"/>
    <n v="1"/>
    <n v="1"/>
  </r>
  <r>
    <n v="1"/>
    <n v="3"/>
    <x v="2"/>
    <s v="RENDIDA"/>
    <s v="2018-04-09"/>
    <x v="535"/>
    <x v="0"/>
    <x v="1"/>
    <n v="1"/>
    <n v="1"/>
  </r>
  <r>
    <n v="1"/>
    <n v="3"/>
    <x v="2"/>
    <s v="RENDIDA"/>
    <s v="2018-04-09"/>
    <x v="536"/>
    <x v="0"/>
    <x v="1"/>
    <n v="1"/>
    <n v="1"/>
  </r>
  <r>
    <n v="1"/>
    <n v="3"/>
    <x v="2"/>
    <s v="RENDIDA"/>
    <s v="2018-04-20"/>
    <x v="537"/>
    <x v="0"/>
    <x v="1"/>
    <n v="1"/>
    <n v="1"/>
  </r>
  <r>
    <n v="1"/>
    <n v="3"/>
    <x v="2"/>
    <s v="RENDIDA"/>
    <s v="2018-04-20"/>
    <x v="538"/>
    <x v="0"/>
    <x v="1"/>
    <n v="1"/>
    <n v="1"/>
  </r>
  <r>
    <n v="1"/>
    <n v="3"/>
    <x v="2"/>
    <s v="RENDIDA"/>
    <s v="2018-04-20"/>
    <x v="539"/>
    <x v="0"/>
    <x v="1"/>
    <n v="1"/>
    <n v="1"/>
  </r>
  <r>
    <n v="1"/>
    <n v="3"/>
    <x v="2"/>
    <s v="RENDIDA"/>
    <s v="2018-04-20"/>
    <x v="540"/>
    <x v="0"/>
    <x v="1"/>
    <n v="1"/>
    <n v="1"/>
  </r>
  <r>
    <n v="1"/>
    <n v="3"/>
    <x v="2"/>
    <s v="RENDIDA"/>
    <s v="2018-04-20"/>
    <x v="541"/>
    <x v="0"/>
    <x v="1"/>
    <n v="1"/>
    <n v="1"/>
  </r>
  <r>
    <n v="1"/>
    <n v="3"/>
    <x v="2"/>
    <s v="RENDIDA"/>
    <s v="2018-04-20"/>
    <x v="542"/>
    <x v="0"/>
    <x v="1"/>
    <n v="1"/>
    <n v="1"/>
  </r>
  <r>
    <n v="1"/>
    <n v="3"/>
    <x v="2"/>
    <s v="RENDIDA"/>
    <s v="2018-04-18"/>
    <x v="543"/>
    <x v="0"/>
    <x v="1"/>
    <n v="1"/>
    <n v="1"/>
  </r>
  <r>
    <n v="1"/>
    <n v="3"/>
    <x v="2"/>
    <s v="RENDIDA"/>
    <s v="2018-04-18"/>
    <x v="544"/>
    <x v="0"/>
    <x v="1"/>
    <n v="1"/>
    <n v="1"/>
  </r>
  <r>
    <n v="1"/>
    <n v="3"/>
    <x v="2"/>
    <s v="RENDIDA"/>
    <s v="2018-04-18"/>
    <x v="545"/>
    <x v="0"/>
    <x v="1"/>
    <n v="1"/>
    <n v="1"/>
  </r>
  <r>
    <n v="1"/>
    <n v="3"/>
    <x v="2"/>
    <s v="RENDIDA"/>
    <s v="2018-04-18"/>
    <x v="546"/>
    <x v="0"/>
    <x v="1"/>
    <n v="1"/>
    <n v="1"/>
  </r>
  <r>
    <n v="1"/>
    <n v="3"/>
    <x v="2"/>
    <s v="RENDIDA"/>
    <s v="2018-04-18"/>
    <x v="547"/>
    <x v="0"/>
    <x v="1"/>
    <n v="1"/>
    <n v="1"/>
  </r>
  <r>
    <n v="1"/>
    <n v="3"/>
    <x v="2"/>
    <s v="SIN RENDIR"/>
    <s v="2018-04-18"/>
    <x v="548"/>
    <x v="0"/>
    <x v="1"/>
    <n v="0"/>
    <n v="1"/>
  </r>
  <r>
    <n v="1"/>
    <n v="3"/>
    <x v="2"/>
    <s v="RENDIDA"/>
    <s v="2018-04-18"/>
    <x v="549"/>
    <x v="0"/>
    <x v="1"/>
    <n v="1"/>
    <n v="1"/>
  </r>
  <r>
    <n v="1"/>
    <n v="3"/>
    <x v="2"/>
    <s v="RENDIDA"/>
    <s v="2018-04-18"/>
    <x v="550"/>
    <x v="0"/>
    <x v="1"/>
    <n v="1"/>
    <n v="1"/>
  </r>
  <r>
    <n v="1"/>
    <n v="3"/>
    <x v="2"/>
    <s v="RENDIDA"/>
    <s v="2018-04-18"/>
    <x v="551"/>
    <x v="0"/>
    <x v="1"/>
    <n v="1"/>
    <n v="1"/>
  </r>
  <r>
    <n v="1"/>
    <n v="3"/>
    <x v="2"/>
    <s v="RENDIDA"/>
    <s v="2018-04-18"/>
    <x v="552"/>
    <x v="0"/>
    <x v="1"/>
    <n v="1"/>
    <n v="1"/>
  </r>
  <r>
    <n v="1"/>
    <n v="3"/>
    <x v="2"/>
    <s v="RENDIDA"/>
    <s v="2018-04-18"/>
    <x v="553"/>
    <x v="0"/>
    <x v="1"/>
    <n v="1"/>
    <n v="1"/>
  </r>
  <r>
    <n v="1"/>
    <n v="3"/>
    <x v="2"/>
    <s v="RENDIDA"/>
    <s v="2018-04-18"/>
    <x v="554"/>
    <x v="0"/>
    <x v="1"/>
    <n v="1"/>
    <n v="1"/>
  </r>
  <r>
    <n v="1"/>
    <n v="3"/>
    <x v="2"/>
    <s v="RENDIDA"/>
    <s v="2018-04-18"/>
    <x v="555"/>
    <x v="0"/>
    <x v="1"/>
    <n v="1"/>
    <n v="1"/>
  </r>
  <r>
    <n v="1"/>
    <n v="3"/>
    <x v="2"/>
    <s v="RENDIDA"/>
    <s v="2018-04-19"/>
    <x v="556"/>
    <x v="0"/>
    <x v="1"/>
    <n v="1"/>
    <n v="1"/>
  </r>
  <r>
    <n v="1"/>
    <n v="3"/>
    <x v="2"/>
    <s v="RENDIDA"/>
    <s v="2018-04-19"/>
    <x v="557"/>
    <x v="0"/>
    <x v="1"/>
    <n v="1"/>
    <n v="1"/>
  </r>
  <r>
    <n v="1"/>
    <n v="3"/>
    <x v="2"/>
    <s v="RENDIDA"/>
    <s v="2018-04-19"/>
    <x v="558"/>
    <x v="0"/>
    <x v="1"/>
    <n v="1"/>
    <n v="1"/>
  </r>
  <r>
    <n v="1"/>
    <n v="3"/>
    <x v="2"/>
    <s v="RENDIDA"/>
    <s v="2018-04-19"/>
    <x v="559"/>
    <x v="0"/>
    <x v="1"/>
    <n v="1"/>
    <n v="1"/>
  </r>
  <r>
    <n v="1"/>
    <n v="3"/>
    <x v="2"/>
    <s v="RENDIDA"/>
    <s v="2018-04-19"/>
    <x v="560"/>
    <x v="0"/>
    <x v="1"/>
    <n v="1"/>
    <n v="1"/>
  </r>
  <r>
    <n v="1"/>
    <n v="3"/>
    <x v="2"/>
    <s v="RENDIDA"/>
    <s v="2018-04-19"/>
    <x v="561"/>
    <x v="0"/>
    <x v="1"/>
    <n v="1"/>
    <n v="1"/>
  </r>
  <r>
    <n v="1"/>
    <n v="3"/>
    <x v="2"/>
    <s v="RENDIDA"/>
    <s v="2018-04-19"/>
    <x v="562"/>
    <x v="0"/>
    <x v="1"/>
    <n v="1"/>
    <n v="1"/>
  </r>
  <r>
    <n v="1"/>
    <n v="3"/>
    <x v="2"/>
    <s v="RENDIDA"/>
    <s v="2018-04-19"/>
    <x v="563"/>
    <x v="0"/>
    <x v="1"/>
    <n v="1"/>
    <n v="1"/>
  </r>
  <r>
    <n v="1"/>
    <n v="3"/>
    <x v="2"/>
    <s v="RENDIDA"/>
    <s v="2018-04-19"/>
    <x v="564"/>
    <x v="0"/>
    <x v="1"/>
    <n v="1"/>
    <n v="1"/>
  </r>
  <r>
    <n v="1"/>
    <n v="3"/>
    <x v="2"/>
    <s v="RENDIDA"/>
    <s v="2018-04-19"/>
    <x v="565"/>
    <x v="0"/>
    <x v="1"/>
    <n v="1"/>
    <n v="1"/>
  </r>
  <r>
    <n v="1"/>
    <n v="3"/>
    <x v="2"/>
    <s v="RENDIDA"/>
    <s v="2018-04-19"/>
    <x v="566"/>
    <x v="0"/>
    <x v="1"/>
    <n v="1"/>
    <n v="1"/>
  </r>
  <r>
    <n v="1"/>
    <n v="3"/>
    <x v="2"/>
    <s v="RENDIDA"/>
    <s v="2018-04-19"/>
    <x v="567"/>
    <x v="0"/>
    <x v="1"/>
    <n v="1"/>
    <n v="1"/>
  </r>
  <r>
    <n v="1"/>
    <n v="3"/>
    <x v="2"/>
    <s v="RENDIDA"/>
    <s v="2018-04-19"/>
    <x v="568"/>
    <x v="0"/>
    <x v="1"/>
    <n v="1"/>
    <n v="1"/>
  </r>
  <r>
    <n v="1"/>
    <n v="3"/>
    <x v="2"/>
    <s v="RENDIDA"/>
    <s v="2018-04-19"/>
    <x v="569"/>
    <x v="0"/>
    <x v="1"/>
    <n v="1"/>
    <n v="1"/>
  </r>
  <r>
    <n v="1"/>
    <n v="3"/>
    <x v="2"/>
    <s v="RENDIDA"/>
    <s v="2018-04-19"/>
    <x v="570"/>
    <x v="0"/>
    <x v="1"/>
    <n v="1"/>
    <n v="1"/>
  </r>
  <r>
    <n v="1"/>
    <n v="3"/>
    <x v="2"/>
    <s v="RENDIDA"/>
    <s v="2018-04-19"/>
    <x v="571"/>
    <x v="0"/>
    <x v="1"/>
    <n v="1"/>
    <n v="1"/>
  </r>
  <r>
    <n v="1"/>
    <n v="3"/>
    <x v="2"/>
    <s v="RENDIDA"/>
    <s v="2018-04-19"/>
    <x v="572"/>
    <x v="0"/>
    <x v="1"/>
    <n v="1"/>
    <n v="1"/>
  </r>
  <r>
    <n v="1"/>
    <n v="3"/>
    <x v="2"/>
    <s v="RENDIDA"/>
    <s v="2018-04-19"/>
    <x v="573"/>
    <x v="0"/>
    <x v="1"/>
    <n v="1"/>
    <n v="1"/>
  </r>
  <r>
    <n v="1"/>
    <n v="3"/>
    <x v="2"/>
    <s v="RENDIDA"/>
    <s v="2018-04-19"/>
    <x v="574"/>
    <x v="0"/>
    <x v="1"/>
    <n v="1"/>
    <n v="1"/>
  </r>
  <r>
    <n v="1"/>
    <n v="3"/>
    <x v="2"/>
    <s v="RENDIDA"/>
    <s v="2018-04-19"/>
    <x v="575"/>
    <x v="0"/>
    <x v="1"/>
    <n v="1"/>
    <n v="1"/>
  </r>
  <r>
    <n v="1"/>
    <n v="3"/>
    <x v="2"/>
    <s v="RENDIDA"/>
    <s v="2018-04-19"/>
    <x v="576"/>
    <x v="0"/>
    <x v="1"/>
    <n v="1"/>
    <n v="1"/>
  </r>
  <r>
    <n v="1"/>
    <n v="3"/>
    <x v="2"/>
    <s v="RENDIDA"/>
    <s v="2018-04-19"/>
    <x v="577"/>
    <x v="0"/>
    <x v="1"/>
    <n v="1"/>
    <n v="1"/>
  </r>
  <r>
    <n v="1"/>
    <n v="3"/>
    <x v="2"/>
    <s v="RENDIDA"/>
    <s v="2018-04-19"/>
    <x v="578"/>
    <x v="0"/>
    <x v="1"/>
    <n v="1"/>
    <n v="1"/>
  </r>
  <r>
    <n v="1"/>
    <n v="3"/>
    <x v="2"/>
    <s v="RENDIDA"/>
    <s v="2018-04-19"/>
    <x v="579"/>
    <x v="0"/>
    <x v="1"/>
    <n v="1"/>
    <n v="1"/>
  </r>
  <r>
    <n v="1"/>
    <n v="3"/>
    <x v="2"/>
    <s v="RENDIDA"/>
    <s v="2018-04-19"/>
    <x v="580"/>
    <x v="0"/>
    <x v="1"/>
    <n v="1"/>
    <n v="1"/>
  </r>
  <r>
    <n v="1"/>
    <n v="3"/>
    <x v="2"/>
    <s v="RENDIDA"/>
    <s v="2018-04-19"/>
    <x v="581"/>
    <x v="0"/>
    <x v="1"/>
    <n v="1"/>
    <n v="1"/>
  </r>
  <r>
    <n v="1"/>
    <n v="3"/>
    <x v="2"/>
    <s v="RENDIDA"/>
    <s v="2018-04-19"/>
    <x v="582"/>
    <x v="0"/>
    <x v="1"/>
    <n v="1"/>
    <n v="1"/>
  </r>
  <r>
    <n v="1"/>
    <n v="3"/>
    <x v="2"/>
    <s v="RENDIDA"/>
    <s v="2018-04-19"/>
    <x v="583"/>
    <x v="0"/>
    <x v="1"/>
    <n v="1"/>
    <n v="1"/>
  </r>
  <r>
    <n v="1"/>
    <n v="3"/>
    <x v="2"/>
    <s v="RENDIDA"/>
    <s v="2018-04-19"/>
    <x v="584"/>
    <x v="0"/>
    <x v="1"/>
    <n v="1"/>
    <n v="1"/>
  </r>
  <r>
    <n v="1"/>
    <n v="3"/>
    <x v="2"/>
    <s v="RENDIDA"/>
    <s v="2018-04-19"/>
    <x v="585"/>
    <x v="0"/>
    <x v="1"/>
    <n v="1"/>
    <n v="1"/>
  </r>
  <r>
    <n v="1"/>
    <n v="3"/>
    <x v="2"/>
    <s v="RENDIDA"/>
    <s v="2018-04-19"/>
    <x v="586"/>
    <x v="0"/>
    <x v="1"/>
    <n v="1"/>
    <n v="1"/>
  </r>
  <r>
    <n v="1"/>
    <n v="3"/>
    <x v="2"/>
    <s v="RENDIDA"/>
    <s v="2018-04-19"/>
    <x v="587"/>
    <x v="0"/>
    <x v="1"/>
    <n v="1"/>
    <n v="1"/>
  </r>
  <r>
    <n v="1"/>
    <n v="3"/>
    <x v="2"/>
    <s v="RENDIDA"/>
    <s v="2018-04-19"/>
    <x v="588"/>
    <x v="0"/>
    <x v="1"/>
    <n v="1"/>
    <n v="1"/>
  </r>
  <r>
    <n v="1"/>
    <n v="3"/>
    <x v="2"/>
    <s v="RENDIDA"/>
    <s v="2018-04-19"/>
    <x v="589"/>
    <x v="0"/>
    <x v="1"/>
    <n v="1"/>
    <n v="1"/>
  </r>
  <r>
    <n v="1"/>
    <n v="3"/>
    <x v="2"/>
    <s v="RENDIDA"/>
    <s v="2018-04-25"/>
    <x v="590"/>
    <x v="0"/>
    <x v="1"/>
    <n v="1"/>
    <n v="1"/>
  </r>
  <r>
    <n v="1"/>
    <n v="3"/>
    <x v="2"/>
    <s v="RENDIDA"/>
    <s v="2018-04-25"/>
    <x v="591"/>
    <x v="0"/>
    <x v="1"/>
    <n v="1"/>
    <n v="1"/>
  </r>
  <r>
    <n v="1"/>
    <n v="3"/>
    <x v="2"/>
    <s v="RENDIDA"/>
    <s v="2018-04-25"/>
    <x v="592"/>
    <x v="0"/>
    <x v="1"/>
    <n v="1"/>
    <n v="1"/>
  </r>
  <r>
    <n v="1"/>
    <n v="3"/>
    <x v="2"/>
    <s v="RENDIDA"/>
    <s v="2018-04-25"/>
    <x v="593"/>
    <x v="0"/>
    <x v="1"/>
    <n v="1"/>
    <n v="1"/>
  </r>
  <r>
    <n v="1"/>
    <n v="3"/>
    <x v="2"/>
    <s v="RENDIDA"/>
    <s v="2018-04-25"/>
    <x v="594"/>
    <x v="0"/>
    <x v="1"/>
    <n v="1"/>
    <n v="1"/>
  </r>
  <r>
    <n v="1"/>
    <n v="3"/>
    <x v="2"/>
    <s v="RENDIDA"/>
    <s v="2018-04-25"/>
    <x v="595"/>
    <x v="0"/>
    <x v="1"/>
    <n v="1"/>
    <n v="1"/>
  </r>
  <r>
    <n v="1"/>
    <n v="3"/>
    <x v="2"/>
    <s v="RENDIDA"/>
    <s v="2018-04-25"/>
    <x v="596"/>
    <x v="0"/>
    <x v="1"/>
    <n v="1"/>
    <n v="1"/>
  </r>
  <r>
    <n v="1"/>
    <n v="3"/>
    <x v="2"/>
    <s v="RENDIDA"/>
    <s v="2018-04-25"/>
    <x v="597"/>
    <x v="0"/>
    <x v="1"/>
    <n v="1"/>
    <n v="1"/>
  </r>
  <r>
    <n v="1"/>
    <n v="3"/>
    <x v="2"/>
    <s v="RENDIDA"/>
    <s v="2018-04-26"/>
    <x v="598"/>
    <x v="0"/>
    <x v="1"/>
    <n v="1"/>
    <n v="1"/>
  </r>
  <r>
    <n v="1"/>
    <n v="3"/>
    <x v="2"/>
    <s v="RENDIDA"/>
    <s v="2018-04-26"/>
    <x v="599"/>
    <x v="0"/>
    <x v="1"/>
    <n v="1"/>
    <n v="1"/>
  </r>
  <r>
    <n v="1"/>
    <n v="3"/>
    <x v="2"/>
    <s v="RENDIDA"/>
    <s v="2018-04-26"/>
    <x v="600"/>
    <x v="0"/>
    <x v="1"/>
    <n v="1"/>
    <n v="1"/>
  </r>
  <r>
    <n v="1"/>
    <n v="3"/>
    <x v="2"/>
    <s v="RENDIDA"/>
    <s v="2018-04-26"/>
    <x v="601"/>
    <x v="0"/>
    <x v="1"/>
    <n v="1"/>
    <n v="1"/>
  </r>
  <r>
    <n v="1"/>
    <n v="3"/>
    <x v="2"/>
    <s v="RENDIDA"/>
    <s v="2018-04-26"/>
    <x v="602"/>
    <x v="0"/>
    <x v="1"/>
    <n v="1"/>
    <n v="1"/>
  </r>
  <r>
    <n v="1"/>
    <n v="3"/>
    <x v="2"/>
    <s v="RENDIDA"/>
    <s v="2018-04-26"/>
    <x v="603"/>
    <x v="0"/>
    <x v="1"/>
    <n v="1"/>
    <n v="1"/>
  </r>
  <r>
    <n v="1"/>
    <n v="3"/>
    <x v="2"/>
    <s v="RENDIDA"/>
    <s v="2018-04-26"/>
    <x v="604"/>
    <x v="0"/>
    <x v="1"/>
    <n v="1"/>
    <n v="1"/>
  </r>
  <r>
    <n v="1"/>
    <n v="3"/>
    <x v="2"/>
    <s v="RENDIDA"/>
    <s v="2018-04-26"/>
    <x v="605"/>
    <x v="0"/>
    <x v="1"/>
    <n v="1"/>
    <n v="1"/>
  </r>
  <r>
    <n v="1"/>
    <n v="3"/>
    <x v="2"/>
    <s v="RENDIDA"/>
    <s v="2018-04-26"/>
    <x v="606"/>
    <x v="0"/>
    <x v="1"/>
    <n v="1"/>
    <n v="1"/>
  </r>
  <r>
    <n v="1"/>
    <n v="3"/>
    <x v="2"/>
    <s v="RENDIDA"/>
    <s v="2018-04-30"/>
    <x v="607"/>
    <x v="0"/>
    <x v="1"/>
    <n v="1"/>
    <n v="1"/>
  </r>
  <r>
    <n v="1"/>
    <n v="3"/>
    <x v="2"/>
    <s v="RENDIDA"/>
    <s v="2018-04-30"/>
    <x v="608"/>
    <x v="0"/>
    <x v="1"/>
    <n v="1"/>
    <n v="1"/>
  </r>
  <r>
    <n v="1"/>
    <n v="3"/>
    <x v="2"/>
    <s v="RENDIDA"/>
    <s v="2018-04-30"/>
    <x v="609"/>
    <x v="0"/>
    <x v="1"/>
    <n v="1"/>
    <n v="1"/>
  </r>
  <r>
    <n v="1"/>
    <n v="3"/>
    <x v="2"/>
    <s v="RENDIDA"/>
    <s v="2018-04-30"/>
    <x v="610"/>
    <x v="0"/>
    <x v="1"/>
    <n v="1"/>
    <n v="1"/>
  </r>
  <r>
    <n v="1"/>
    <n v="3"/>
    <x v="2"/>
    <s v="RENDIDA"/>
    <s v="2018-04-30"/>
    <x v="611"/>
    <x v="0"/>
    <x v="1"/>
    <n v="1"/>
    <n v="1"/>
  </r>
  <r>
    <n v="1"/>
    <n v="3"/>
    <x v="2"/>
    <s v="RENDIDA"/>
    <s v="2018-04-30"/>
    <x v="612"/>
    <x v="0"/>
    <x v="1"/>
    <n v="1"/>
    <n v="1"/>
  </r>
  <r>
    <n v="1"/>
    <n v="3"/>
    <x v="2"/>
    <s v="RENDIDA"/>
    <s v="2018-04-30"/>
    <x v="613"/>
    <x v="0"/>
    <x v="1"/>
    <n v="1"/>
    <n v="1"/>
  </r>
  <r>
    <n v="1"/>
    <n v="3"/>
    <x v="2"/>
    <s v="RENDIDA"/>
    <s v="2018-04-30"/>
    <x v="614"/>
    <x v="0"/>
    <x v="1"/>
    <n v="1"/>
    <n v="1"/>
  </r>
  <r>
    <n v="1"/>
    <n v="3"/>
    <x v="2"/>
    <s v="RENDIDA"/>
    <s v="2018-04-30"/>
    <x v="615"/>
    <x v="0"/>
    <x v="1"/>
    <n v="1"/>
    <n v="1"/>
  </r>
  <r>
    <n v="1"/>
    <n v="3"/>
    <x v="2"/>
    <s v="RENDIDA"/>
    <s v="2018-04-30"/>
    <x v="616"/>
    <x v="0"/>
    <x v="1"/>
    <n v="1"/>
    <n v="1"/>
  </r>
  <r>
    <n v="1"/>
    <n v="3"/>
    <x v="2"/>
    <s v="RENDIDA"/>
    <s v="2018-04-30"/>
    <x v="617"/>
    <x v="0"/>
    <x v="1"/>
    <n v="1"/>
    <n v="1"/>
  </r>
  <r>
    <n v="1"/>
    <n v="3"/>
    <x v="2"/>
    <s v="RENDIDA"/>
    <s v="2018-04-30"/>
    <x v="618"/>
    <x v="0"/>
    <x v="1"/>
    <n v="1"/>
    <n v="1"/>
  </r>
  <r>
    <n v="1"/>
    <n v="3"/>
    <x v="2"/>
    <s v="RENDIDA"/>
    <s v="2018-04-30"/>
    <x v="619"/>
    <x v="0"/>
    <x v="1"/>
    <n v="1"/>
    <n v="1"/>
  </r>
  <r>
    <n v="1"/>
    <n v="3"/>
    <x v="2"/>
    <s v="RENDIDA"/>
    <s v="2018-04-30"/>
    <x v="620"/>
    <x v="0"/>
    <x v="1"/>
    <n v="1"/>
    <n v="1"/>
  </r>
  <r>
    <n v="1"/>
    <n v="3"/>
    <x v="2"/>
    <s v="RENDIDA"/>
    <s v="2018-04-30"/>
    <x v="621"/>
    <x v="0"/>
    <x v="1"/>
    <n v="1"/>
    <n v="1"/>
  </r>
  <r>
    <n v="1"/>
    <n v="3"/>
    <x v="2"/>
    <s v="RENDIDA"/>
    <s v="2018-04-30"/>
    <x v="622"/>
    <x v="0"/>
    <x v="1"/>
    <n v="1"/>
    <n v="1"/>
  </r>
  <r>
    <n v="1"/>
    <n v="3"/>
    <x v="2"/>
    <s v="RENDIDA"/>
    <s v="2018-04-30"/>
    <x v="623"/>
    <x v="0"/>
    <x v="1"/>
    <n v="1"/>
    <n v="1"/>
  </r>
  <r>
    <n v="1"/>
    <n v="3"/>
    <x v="2"/>
    <s v="RENDIDA"/>
    <s v="2018-04-30"/>
    <x v="624"/>
    <x v="0"/>
    <x v="1"/>
    <n v="1"/>
    <n v="1"/>
  </r>
  <r>
    <n v="1"/>
    <n v="3"/>
    <x v="2"/>
    <s v="RENDIDA"/>
    <s v="2018-04-30"/>
    <x v="625"/>
    <x v="0"/>
    <x v="1"/>
    <n v="1"/>
    <n v="1"/>
  </r>
  <r>
    <n v="1"/>
    <n v="3"/>
    <x v="2"/>
    <s v="RENDIDA"/>
    <s v="2018-04-30"/>
    <x v="626"/>
    <x v="0"/>
    <x v="1"/>
    <n v="1"/>
    <n v="1"/>
  </r>
  <r>
    <n v="1"/>
    <n v="3"/>
    <x v="2"/>
    <s v="RENDIDA"/>
    <s v="2018-04-30"/>
    <x v="627"/>
    <x v="0"/>
    <x v="1"/>
    <n v="1"/>
    <n v="1"/>
  </r>
  <r>
    <n v="1"/>
    <n v="3"/>
    <x v="2"/>
    <s v="RENDIDA"/>
    <s v="2018-04-30"/>
    <x v="628"/>
    <x v="0"/>
    <x v="1"/>
    <n v="1"/>
    <n v="1"/>
  </r>
  <r>
    <n v="1"/>
    <n v="3"/>
    <x v="2"/>
    <s v="RENDIDA"/>
    <s v="2018-04-30"/>
    <x v="629"/>
    <x v="0"/>
    <x v="1"/>
    <n v="1"/>
    <n v="1"/>
  </r>
  <r>
    <n v="1"/>
    <n v="3"/>
    <x v="2"/>
    <s v="RENDIDA"/>
    <s v="2018-04-30"/>
    <x v="630"/>
    <x v="0"/>
    <x v="1"/>
    <n v="1"/>
    <n v="1"/>
  </r>
  <r>
    <n v="1"/>
    <n v="3"/>
    <x v="2"/>
    <s v="RENDIDA"/>
    <s v="2018-04-30"/>
    <x v="631"/>
    <x v="0"/>
    <x v="1"/>
    <n v="1"/>
    <n v="1"/>
  </r>
  <r>
    <n v="1"/>
    <n v="3"/>
    <x v="2"/>
    <s v="RENDIDA"/>
    <s v="2018-04-30"/>
    <x v="632"/>
    <x v="0"/>
    <x v="1"/>
    <n v="1"/>
    <n v="1"/>
  </r>
  <r>
    <n v="1"/>
    <n v="3"/>
    <x v="2"/>
    <s v="RENDIDA"/>
    <s v="2018-04-30"/>
    <x v="633"/>
    <x v="0"/>
    <x v="1"/>
    <n v="1"/>
    <n v="1"/>
  </r>
  <r>
    <n v="1"/>
    <n v="3"/>
    <x v="2"/>
    <s v="RENDIDA"/>
    <s v="2018-04-30"/>
    <x v="634"/>
    <x v="0"/>
    <x v="1"/>
    <n v="1"/>
    <n v="1"/>
  </r>
  <r>
    <n v="1"/>
    <n v="3"/>
    <x v="2"/>
    <s v="RENDIDA"/>
    <s v="2018-04-30"/>
    <x v="635"/>
    <x v="0"/>
    <x v="1"/>
    <n v="1"/>
    <n v="1"/>
  </r>
  <r>
    <n v="1"/>
    <n v="3"/>
    <x v="2"/>
    <s v="RENDIDA"/>
    <s v="2018-04-30"/>
    <x v="636"/>
    <x v="0"/>
    <x v="1"/>
    <n v="1"/>
    <n v="1"/>
  </r>
  <r>
    <n v="1"/>
    <n v="3"/>
    <x v="2"/>
    <s v="RENDIDA"/>
    <s v="2018-05-11"/>
    <x v="637"/>
    <x v="0"/>
    <x v="2"/>
    <n v="1"/>
    <n v="1"/>
  </r>
  <r>
    <n v="1"/>
    <n v="3"/>
    <x v="2"/>
    <s v="RENDIDA"/>
    <s v="2018-05-11"/>
    <x v="638"/>
    <x v="0"/>
    <x v="2"/>
    <n v="1"/>
    <n v="1"/>
  </r>
  <r>
    <n v="1"/>
    <n v="3"/>
    <x v="2"/>
    <s v="RENDIDA"/>
    <s v="2018-05-11"/>
    <x v="639"/>
    <x v="0"/>
    <x v="2"/>
    <n v="1"/>
    <n v="1"/>
  </r>
  <r>
    <n v="1"/>
    <n v="3"/>
    <x v="2"/>
    <s v="RENDIDA"/>
    <s v="2018-05-11"/>
    <x v="640"/>
    <x v="0"/>
    <x v="2"/>
    <n v="1"/>
    <n v="1"/>
  </r>
  <r>
    <n v="1"/>
    <n v="3"/>
    <x v="2"/>
    <s v="RENDIDA"/>
    <s v="2018-05-11"/>
    <x v="641"/>
    <x v="0"/>
    <x v="2"/>
    <n v="1"/>
    <n v="1"/>
  </r>
  <r>
    <n v="1"/>
    <n v="3"/>
    <x v="2"/>
    <s v="RENDIDA"/>
    <s v="2018-05-16"/>
    <x v="642"/>
    <x v="0"/>
    <x v="2"/>
    <n v="1"/>
    <n v="1"/>
  </r>
  <r>
    <n v="1"/>
    <n v="3"/>
    <x v="2"/>
    <s v="RENDIDA"/>
    <s v="2018-05-16"/>
    <x v="643"/>
    <x v="0"/>
    <x v="2"/>
    <n v="1"/>
    <n v="1"/>
  </r>
  <r>
    <n v="1"/>
    <n v="3"/>
    <x v="2"/>
    <s v="RENDIDA"/>
    <s v="2018-05-16"/>
    <x v="644"/>
    <x v="0"/>
    <x v="2"/>
    <n v="1"/>
    <n v="1"/>
  </r>
  <r>
    <n v="1"/>
    <n v="3"/>
    <x v="2"/>
    <s v="RENDIDA"/>
    <s v="2018-05-16"/>
    <x v="645"/>
    <x v="0"/>
    <x v="2"/>
    <n v="1"/>
    <n v="1"/>
  </r>
  <r>
    <n v="1"/>
    <n v="3"/>
    <x v="2"/>
    <s v="RENDIDA"/>
    <s v="2018-05-16"/>
    <x v="646"/>
    <x v="0"/>
    <x v="2"/>
    <n v="1"/>
    <n v="1"/>
  </r>
  <r>
    <n v="1"/>
    <n v="3"/>
    <x v="2"/>
    <s v="RENDIDA"/>
    <s v="2018-05-16"/>
    <x v="647"/>
    <x v="0"/>
    <x v="2"/>
    <n v="1"/>
    <n v="1"/>
  </r>
  <r>
    <n v="1"/>
    <n v="3"/>
    <x v="2"/>
    <s v="RENDIDA"/>
    <s v="2018-05-16"/>
    <x v="648"/>
    <x v="0"/>
    <x v="2"/>
    <n v="1"/>
    <n v="1"/>
  </r>
  <r>
    <n v="1"/>
    <n v="3"/>
    <x v="2"/>
    <s v="RENDIDA"/>
    <s v="2018-05-16"/>
    <x v="649"/>
    <x v="0"/>
    <x v="2"/>
    <n v="1"/>
    <n v="1"/>
  </r>
  <r>
    <n v="1"/>
    <n v="3"/>
    <x v="2"/>
    <s v="RENDIDA"/>
    <s v="2018-05-16"/>
    <x v="650"/>
    <x v="0"/>
    <x v="2"/>
    <n v="1"/>
    <n v="1"/>
  </r>
  <r>
    <n v="1"/>
    <n v="3"/>
    <x v="2"/>
    <s v="RENDIDA"/>
    <s v="2018-05-16"/>
    <x v="651"/>
    <x v="0"/>
    <x v="2"/>
    <n v="1"/>
    <n v="1"/>
  </r>
  <r>
    <n v="1"/>
    <n v="3"/>
    <x v="2"/>
    <s v="RENDIDA"/>
    <s v="2018-05-16"/>
    <x v="652"/>
    <x v="0"/>
    <x v="2"/>
    <n v="1"/>
    <n v="1"/>
  </r>
  <r>
    <n v="1"/>
    <n v="3"/>
    <x v="2"/>
    <s v="RENDIDA"/>
    <s v="2018-05-16"/>
    <x v="653"/>
    <x v="0"/>
    <x v="2"/>
    <n v="1"/>
    <n v="1"/>
  </r>
  <r>
    <n v="1"/>
    <n v="3"/>
    <x v="2"/>
    <s v="RENDIDA"/>
    <s v="2018-05-16"/>
    <x v="654"/>
    <x v="0"/>
    <x v="2"/>
    <n v="1"/>
    <n v="1"/>
  </r>
  <r>
    <n v="1"/>
    <n v="3"/>
    <x v="2"/>
    <s v="RENDIDA"/>
    <s v="2018-05-16"/>
    <x v="655"/>
    <x v="0"/>
    <x v="2"/>
    <n v="1"/>
    <n v="1"/>
  </r>
  <r>
    <n v="1"/>
    <n v="3"/>
    <x v="2"/>
    <s v="RENDIDA"/>
    <s v="2018-05-16"/>
    <x v="656"/>
    <x v="0"/>
    <x v="2"/>
    <n v="1"/>
    <n v="1"/>
  </r>
  <r>
    <n v="1"/>
    <n v="3"/>
    <x v="2"/>
    <s v="RENDIDA"/>
    <s v="2018-05-16"/>
    <x v="657"/>
    <x v="0"/>
    <x v="2"/>
    <n v="1"/>
    <n v="1"/>
  </r>
  <r>
    <n v="1"/>
    <n v="3"/>
    <x v="2"/>
    <s v="RENDIDA"/>
    <s v="2018-05-16"/>
    <x v="658"/>
    <x v="0"/>
    <x v="2"/>
    <n v="1"/>
    <n v="1"/>
  </r>
  <r>
    <n v="1"/>
    <n v="3"/>
    <x v="2"/>
    <s v="RENDIDA"/>
    <s v="2018-05-16"/>
    <x v="659"/>
    <x v="0"/>
    <x v="2"/>
    <n v="1"/>
    <n v="1"/>
  </r>
  <r>
    <n v="1"/>
    <n v="3"/>
    <x v="2"/>
    <s v="RENDIDA"/>
    <s v="2018-05-16"/>
    <x v="660"/>
    <x v="0"/>
    <x v="2"/>
    <n v="1"/>
    <n v="1"/>
  </r>
  <r>
    <n v="1"/>
    <n v="3"/>
    <x v="2"/>
    <s v="RENDIDA"/>
    <s v="2018-05-16"/>
    <x v="661"/>
    <x v="0"/>
    <x v="2"/>
    <n v="1"/>
    <n v="1"/>
  </r>
  <r>
    <n v="1"/>
    <n v="3"/>
    <x v="2"/>
    <s v="RENDIDA"/>
    <s v="2018-05-17"/>
    <x v="662"/>
    <x v="0"/>
    <x v="2"/>
    <n v="1"/>
    <n v="1"/>
  </r>
  <r>
    <n v="1"/>
    <n v="3"/>
    <x v="2"/>
    <s v="RENDIDA"/>
    <s v="2018-05-17"/>
    <x v="663"/>
    <x v="0"/>
    <x v="2"/>
    <n v="1"/>
    <n v="1"/>
  </r>
  <r>
    <n v="1"/>
    <n v="3"/>
    <x v="2"/>
    <s v="RENDIDA"/>
    <s v="2018-05-17"/>
    <x v="664"/>
    <x v="0"/>
    <x v="2"/>
    <n v="1"/>
    <n v="1"/>
  </r>
  <r>
    <n v="1"/>
    <n v="3"/>
    <x v="2"/>
    <s v="RENDIDA"/>
    <s v="2018-05-18"/>
    <x v="665"/>
    <x v="0"/>
    <x v="2"/>
    <n v="1"/>
    <n v="1"/>
  </r>
  <r>
    <n v="1"/>
    <n v="3"/>
    <x v="2"/>
    <s v="RENDIDA"/>
    <s v="2018-05-18"/>
    <x v="666"/>
    <x v="0"/>
    <x v="2"/>
    <n v="1"/>
    <n v="1"/>
  </r>
  <r>
    <n v="1"/>
    <n v="3"/>
    <x v="2"/>
    <s v="RENDIDA"/>
    <s v="2018-05-18"/>
    <x v="667"/>
    <x v="0"/>
    <x v="2"/>
    <n v="1"/>
    <n v="1"/>
  </r>
  <r>
    <n v="1"/>
    <n v="3"/>
    <x v="2"/>
    <s v="RENDIDA"/>
    <s v="2018-05-18"/>
    <x v="668"/>
    <x v="0"/>
    <x v="2"/>
    <n v="1"/>
    <n v="1"/>
  </r>
  <r>
    <n v="1"/>
    <n v="3"/>
    <x v="2"/>
    <s v="RENDIDA"/>
    <s v="2018-05-18"/>
    <x v="669"/>
    <x v="0"/>
    <x v="2"/>
    <n v="1"/>
    <n v="1"/>
  </r>
  <r>
    <n v="1"/>
    <n v="3"/>
    <x v="2"/>
    <s v="RENDIDA"/>
    <s v="2018-05-18"/>
    <x v="670"/>
    <x v="0"/>
    <x v="2"/>
    <n v="1"/>
    <n v="1"/>
  </r>
  <r>
    <n v="1"/>
    <n v="3"/>
    <x v="2"/>
    <s v="RENDIDA"/>
    <s v="2018-05-18"/>
    <x v="671"/>
    <x v="0"/>
    <x v="2"/>
    <n v="1"/>
    <n v="1"/>
  </r>
  <r>
    <n v="1"/>
    <n v="3"/>
    <x v="2"/>
    <s v="RENDIDA"/>
    <s v="2018-05-18"/>
    <x v="672"/>
    <x v="0"/>
    <x v="2"/>
    <n v="1"/>
    <n v="1"/>
  </r>
  <r>
    <n v="1"/>
    <n v="3"/>
    <x v="2"/>
    <s v="RENDIDA"/>
    <s v="2018-05-18"/>
    <x v="673"/>
    <x v="0"/>
    <x v="2"/>
    <n v="1"/>
    <n v="1"/>
  </r>
  <r>
    <n v="1"/>
    <n v="3"/>
    <x v="2"/>
    <s v="RENDIDA"/>
    <s v="2018-05-18"/>
    <x v="674"/>
    <x v="0"/>
    <x v="2"/>
    <n v="1"/>
    <n v="1"/>
  </r>
  <r>
    <n v="1"/>
    <n v="3"/>
    <x v="2"/>
    <s v="RENDIDA"/>
    <s v="2018-05-18"/>
    <x v="675"/>
    <x v="0"/>
    <x v="2"/>
    <n v="1"/>
    <n v="1"/>
  </r>
  <r>
    <n v="1"/>
    <n v="3"/>
    <x v="2"/>
    <s v="RENDIDA"/>
    <s v="2018-05-18"/>
    <x v="676"/>
    <x v="0"/>
    <x v="2"/>
    <n v="1"/>
    <n v="1"/>
  </r>
  <r>
    <n v="1"/>
    <n v="3"/>
    <x v="2"/>
    <s v="RENDIDA"/>
    <s v="2018-05-18"/>
    <x v="677"/>
    <x v="0"/>
    <x v="2"/>
    <n v="1"/>
    <n v="1"/>
  </r>
  <r>
    <n v="1"/>
    <n v="3"/>
    <x v="2"/>
    <s v="RENDIDA"/>
    <s v="2018-05-18"/>
    <x v="678"/>
    <x v="0"/>
    <x v="2"/>
    <n v="1"/>
    <n v="1"/>
  </r>
  <r>
    <n v="1"/>
    <n v="3"/>
    <x v="2"/>
    <s v="RENDIDA"/>
    <s v="2018-05-18"/>
    <x v="679"/>
    <x v="0"/>
    <x v="2"/>
    <n v="1"/>
    <n v="1"/>
  </r>
  <r>
    <n v="1"/>
    <n v="3"/>
    <x v="2"/>
    <s v="RENDIDA"/>
    <s v="2018-05-18"/>
    <x v="680"/>
    <x v="0"/>
    <x v="2"/>
    <n v="1"/>
    <n v="1"/>
  </r>
  <r>
    <n v="1"/>
    <n v="3"/>
    <x v="2"/>
    <s v="RENDIDA"/>
    <s v="2018-05-18"/>
    <x v="681"/>
    <x v="0"/>
    <x v="2"/>
    <n v="1"/>
    <n v="1"/>
  </r>
  <r>
    <n v="1"/>
    <n v="3"/>
    <x v="2"/>
    <s v="RENDIDA"/>
    <s v="2018-05-24"/>
    <x v="682"/>
    <x v="0"/>
    <x v="2"/>
    <n v="1"/>
    <n v="1"/>
  </r>
  <r>
    <n v="1"/>
    <n v="3"/>
    <x v="2"/>
    <s v="RENDIDA"/>
    <s v="2018-05-24"/>
    <x v="683"/>
    <x v="0"/>
    <x v="2"/>
    <n v="1"/>
    <n v="1"/>
  </r>
  <r>
    <n v="1"/>
    <n v="3"/>
    <x v="2"/>
    <s v="RENDIDA"/>
    <s v="2018-05-31"/>
    <x v="684"/>
    <x v="0"/>
    <x v="2"/>
    <n v="1"/>
    <n v="1"/>
  </r>
  <r>
    <n v="1"/>
    <n v="3"/>
    <x v="2"/>
    <s v="RENDIDA"/>
    <s v="2018-05-31"/>
    <x v="685"/>
    <x v="0"/>
    <x v="2"/>
    <n v="1"/>
    <n v="1"/>
  </r>
  <r>
    <n v="1"/>
    <n v="3"/>
    <x v="2"/>
    <s v="RENDIDA"/>
    <s v="2018-05-31"/>
    <x v="686"/>
    <x v="0"/>
    <x v="2"/>
    <n v="1"/>
    <n v="1"/>
  </r>
  <r>
    <n v="1"/>
    <n v="3"/>
    <x v="2"/>
    <s v="RENDIDA"/>
    <s v="2018-05-31"/>
    <x v="687"/>
    <x v="0"/>
    <x v="2"/>
    <n v="1"/>
    <n v="1"/>
  </r>
  <r>
    <n v="1"/>
    <n v="3"/>
    <x v="2"/>
    <s v="RENDIDA"/>
    <s v="2018-05-31"/>
    <x v="688"/>
    <x v="0"/>
    <x v="2"/>
    <n v="1"/>
    <n v="1"/>
  </r>
  <r>
    <n v="1"/>
    <n v="3"/>
    <x v="2"/>
    <s v="RENDIDA"/>
    <s v="2018-05-31"/>
    <x v="689"/>
    <x v="0"/>
    <x v="2"/>
    <n v="1"/>
    <n v="1"/>
  </r>
  <r>
    <n v="1"/>
    <n v="3"/>
    <x v="2"/>
    <s v="RENDIDA"/>
    <s v="2018-05-31"/>
    <x v="690"/>
    <x v="0"/>
    <x v="2"/>
    <n v="1"/>
    <n v="1"/>
  </r>
  <r>
    <n v="1"/>
    <n v="3"/>
    <x v="2"/>
    <s v="RENDIDA"/>
    <s v="2018-05-31"/>
    <x v="691"/>
    <x v="0"/>
    <x v="2"/>
    <n v="1"/>
    <n v="1"/>
  </r>
  <r>
    <n v="1"/>
    <n v="3"/>
    <x v="2"/>
    <s v="RENDIDA"/>
    <s v="2018-05-31"/>
    <x v="692"/>
    <x v="0"/>
    <x v="2"/>
    <n v="1"/>
    <n v="1"/>
  </r>
  <r>
    <n v="1"/>
    <n v="3"/>
    <x v="2"/>
    <s v="RENDIDA"/>
    <s v="2018-03-27"/>
    <x v="693"/>
    <x v="0"/>
    <x v="0"/>
    <n v="1"/>
    <n v="1"/>
  </r>
  <r>
    <n v="1"/>
    <n v="3"/>
    <x v="2"/>
    <s v="RENDIDA"/>
    <s v="2018-03-27"/>
    <x v="694"/>
    <x v="0"/>
    <x v="0"/>
    <n v="1"/>
    <n v="1"/>
  </r>
  <r>
    <n v="1"/>
    <n v="3"/>
    <x v="2"/>
    <s v="RENDIDA"/>
    <s v="2018-03-27"/>
    <x v="695"/>
    <x v="0"/>
    <x v="0"/>
    <n v="1"/>
    <n v="1"/>
  </r>
  <r>
    <n v="1"/>
    <n v="3"/>
    <x v="2"/>
    <s v="RENDIDA"/>
    <s v="2018-03-27"/>
    <x v="696"/>
    <x v="0"/>
    <x v="0"/>
    <n v="1"/>
    <n v="1"/>
  </r>
  <r>
    <n v="1"/>
    <n v="3"/>
    <x v="2"/>
    <s v="RENDIDA"/>
    <s v="2018-03-27"/>
    <x v="697"/>
    <x v="0"/>
    <x v="0"/>
    <n v="1"/>
    <n v="1"/>
  </r>
  <r>
    <n v="1"/>
    <n v="3"/>
    <x v="2"/>
    <s v="RENDIDA"/>
    <s v="2018-03-27"/>
    <x v="698"/>
    <x v="0"/>
    <x v="0"/>
    <n v="1"/>
    <n v="1"/>
  </r>
  <r>
    <n v="1"/>
    <n v="3"/>
    <x v="2"/>
    <s v="RENDIDA"/>
    <s v="2018-03-27"/>
    <x v="699"/>
    <x v="0"/>
    <x v="0"/>
    <n v="1"/>
    <n v="1"/>
  </r>
  <r>
    <n v="1"/>
    <n v="3"/>
    <x v="2"/>
    <s v="RENDIDA"/>
    <s v="2018-03-27"/>
    <x v="700"/>
    <x v="0"/>
    <x v="0"/>
    <n v="1"/>
    <n v="1"/>
  </r>
  <r>
    <n v="1"/>
    <n v="3"/>
    <x v="2"/>
    <s v="RENDIDA"/>
    <s v="2018-03-27"/>
    <x v="701"/>
    <x v="0"/>
    <x v="0"/>
    <n v="1"/>
    <n v="1"/>
  </r>
  <r>
    <n v="1"/>
    <n v="3"/>
    <x v="2"/>
    <s v="RENDIDA"/>
    <s v="2018-03-27"/>
    <x v="702"/>
    <x v="0"/>
    <x v="0"/>
    <n v="1"/>
    <n v="1"/>
  </r>
  <r>
    <n v="1"/>
    <n v="3"/>
    <x v="2"/>
    <s v="RENDIDA"/>
    <s v="2018-03-27"/>
    <x v="703"/>
    <x v="0"/>
    <x v="0"/>
    <n v="1"/>
    <n v="1"/>
  </r>
  <r>
    <n v="1"/>
    <n v="3"/>
    <x v="2"/>
    <s v="RENDIDA"/>
    <s v="2018-03-27"/>
    <x v="704"/>
    <x v="0"/>
    <x v="0"/>
    <n v="1"/>
    <n v="1"/>
  </r>
  <r>
    <n v="1"/>
    <n v="3"/>
    <x v="2"/>
    <s v="RENDIDA"/>
    <s v="2018-03-27"/>
    <x v="705"/>
    <x v="0"/>
    <x v="0"/>
    <n v="1"/>
    <n v="1"/>
  </r>
  <r>
    <n v="1"/>
    <n v="3"/>
    <x v="2"/>
    <s v="RENDIDA"/>
    <s v="2018-03-27"/>
    <x v="706"/>
    <x v="0"/>
    <x v="0"/>
    <n v="1"/>
    <n v="1"/>
  </r>
  <r>
    <n v="1"/>
    <n v="3"/>
    <x v="2"/>
    <s v="RENDIDA"/>
    <s v="2018-03-27"/>
    <x v="707"/>
    <x v="0"/>
    <x v="0"/>
    <n v="1"/>
    <n v="1"/>
  </r>
  <r>
    <n v="1"/>
    <n v="3"/>
    <x v="2"/>
    <s v="RENDIDA"/>
    <s v="2018-03-27"/>
    <x v="708"/>
    <x v="0"/>
    <x v="0"/>
    <n v="1"/>
    <n v="1"/>
  </r>
  <r>
    <n v="1"/>
    <n v="3"/>
    <x v="2"/>
    <s v="RENDIDA"/>
    <s v="2018-03-27"/>
    <x v="709"/>
    <x v="0"/>
    <x v="0"/>
    <n v="1"/>
    <n v="1"/>
  </r>
  <r>
    <n v="1"/>
    <n v="3"/>
    <x v="2"/>
    <s v="RENDIDA"/>
    <s v="2018-03-27"/>
    <x v="710"/>
    <x v="0"/>
    <x v="0"/>
    <n v="1"/>
    <n v="1"/>
  </r>
  <r>
    <n v="1"/>
    <n v="3"/>
    <x v="2"/>
    <s v="RENDIDA"/>
    <s v="2018-03-27"/>
    <x v="711"/>
    <x v="0"/>
    <x v="0"/>
    <n v="1"/>
    <n v="1"/>
  </r>
  <r>
    <n v="1"/>
    <n v="3"/>
    <x v="2"/>
    <s v="RENDIDA"/>
    <s v="2018-03-27"/>
    <x v="712"/>
    <x v="0"/>
    <x v="0"/>
    <n v="1"/>
    <n v="1"/>
  </r>
  <r>
    <n v="1"/>
    <n v="3"/>
    <x v="2"/>
    <s v="RENDIDA"/>
    <s v="2018-03-27"/>
    <x v="713"/>
    <x v="0"/>
    <x v="0"/>
    <n v="1"/>
    <n v="1"/>
  </r>
  <r>
    <n v="1"/>
    <n v="3"/>
    <x v="2"/>
    <s v="RENDIDA"/>
    <s v="2018-03-27"/>
    <x v="714"/>
    <x v="0"/>
    <x v="0"/>
    <n v="1"/>
    <n v="1"/>
  </r>
  <r>
    <n v="1"/>
    <n v="3"/>
    <x v="2"/>
    <s v="RENDIDA"/>
    <s v="2018-03-27"/>
    <x v="715"/>
    <x v="0"/>
    <x v="0"/>
    <n v="1"/>
    <n v="1"/>
  </r>
  <r>
    <n v="1"/>
    <n v="3"/>
    <x v="2"/>
    <s v="RENDIDA"/>
    <s v="2018-03-27"/>
    <x v="716"/>
    <x v="0"/>
    <x v="0"/>
    <n v="1"/>
    <n v="1"/>
  </r>
  <r>
    <n v="1"/>
    <n v="3"/>
    <x v="2"/>
    <s v="RENDIDA"/>
    <s v="2018-03-27"/>
    <x v="717"/>
    <x v="0"/>
    <x v="0"/>
    <n v="1"/>
    <n v="1"/>
  </r>
  <r>
    <n v="1"/>
    <n v="3"/>
    <x v="2"/>
    <s v="RENDIDA"/>
    <s v="2018-03-27"/>
    <x v="718"/>
    <x v="0"/>
    <x v="0"/>
    <n v="1"/>
    <n v="1"/>
  </r>
  <r>
    <n v="1"/>
    <n v="3"/>
    <x v="2"/>
    <s v="RENDIDA"/>
    <s v="2018-03-27"/>
    <x v="719"/>
    <x v="0"/>
    <x v="0"/>
    <n v="1"/>
    <n v="1"/>
  </r>
  <r>
    <n v="1"/>
    <n v="3"/>
    <x v="2"/>
    <s v="RENDIDA"/>
    <s v="2018-03-27"/>
    <x v="720"/>
    <x v="0"/>
    <x v="0"/>
    <n v="1"/>
    <n v="1"/>
  </r>
  <r>
    <n v="1"/>
    <n v="3"/>
    <x v="2"/>
    <s v="RENDIDA"/>
    <s v="2018-03-27"/>
    <x v="721"/>
    <x v="0"/>
    <x v="0"/>
    <n v="1"/>
    <n v="1"/>
  </r>
  <r>
    <n v="1"/>
    <n v="3"/>
    <x v="2"/>
    <s v="RENDIDA"/>
    <s v="2018-03-27"/>
    <x v="722"/>
    <x v="0"/>
    <x v="0"/>
    <n v="1"/>
    <n v="1"/>
  </r>
  <r>
    <n v="1"/>
    <n v="3"/>
    <x v="2"/>
    <s v="RENDIDA"/>
    <s v="2018-03-27"/>
    <x v="723"/>
    <x v="0"/>
    <x v="0"/>
    <n v="1"/>
    <n v="1"/>
  </r>
  <r>
    <n v="1"/>
    <n v="3"/>
    <x v="2"/>
    <s v="RENDIDA"/>
    <s v="2018-03-27"/>
    <x v="724"/>
    <x v="0"/>
    <x v="0"/>
    <n v="1"/>
    <n v="1"/>
  </r>
  <r>
    <n v="1"/>
    <n v="3"/>
    <x v="2"/>
    <s v="RENDIDA"/>
    <s v="2018-03-27"/>
    <x v="725"/>
    <x v="0"/>
    <x v="0"/>
    <n v="1"/>
    <n v="1"/>
  </r>
  <r>
    <n v="1"/>
    <n v="3"/>
    <x v="2"/>
    <s v="RENDIDA"/>
    <s v="2018-03-27"/>
    <x v="726"/>
    <x v="0"/>
    <x v="0"/>
    <n v="1"/>
    <n v="1"/>
  </r>
  <r>
    <n v="1"/>
    <n v="3"/>
    <x v="2"/>
    <s v="RENDIDA"/>
    <s v="2018-03-27"/>
    <x v="727"/>
    <x v="0"/>
    <x v="0"/>
    <n v="1"/>
    <n v="1"/>
  </r>
  <r>
    <n v="1"/>
    <n v="3"/>
    <x v="2"/>
    <s v="RENDIDA"/>
    <s v="2018-03-28"/>
    <x v="728"/>
    <x v="0"/>
    <x v="0"/>
    <n v="1"/>
    <n v="1"/>
  </r>
  <r>
    <n v="1"/>
    <n v="3"/>
    <x v="2"/>
    <s v="RENDIDA"/>
    <s v="2018-03-29"/>
    <x v="729"/>
    <x v="0"/>
    <x v="0"/>
    <n v="1"/>
    <n v="1"/>
  </r>
  <r>
    <n v="1"/>
    <n v="3"/>
    <x v="2"/>
    <s v="RENDIDA"/>
    <s v="2018-03-29"/>
    <x v="730"/>
    <x v="0"/>
    <x v="0"/>
    <n v="1"/>
    <n v="1"/>
  </r>
  <r>
    <n v="1"/>
    <n v="3"/>
    <x v="2"/>
    <s v="RENDIDA"/>
    <s v="2018-03-29"/>
    <x v="731"/>
    <x v="0"/>
    <x v="0"/>
    <n v="1"/>
    <n v="1"/>
  </r>
  <r>
    <n v="1"/>
    <n v="3"/>
    <x v="2"/>
    <s v="RENDIDA"/>
    <s v="2018-04-02"/>
    <x v="732"/>
    <x v="0"/>
    <x v="1"/>
    <n v="1"/>
    <n v="1"/>
  </r>
  <r>
    <n v="1"/>
    <n v="3"/>
    <x v="2"/>
    <s v="RENDIDA"/>
    <s v="2018-04-04"/>
    <x v="733"/>
    <x v="0"/>
    <x v="1"/>
    <n v="1"/>
    <n v="1"/>
  </r>
  <r>
    <n v="1"/>
    <n v="3"/>
    <x v="2"/>
    <s v="RENDIDA"/>
    <s v="2018-04-04"/>
    <x v="734"/>
    <x v="0"/>
    <x v="1"/>
    <n v="1"/>
    <n v="1"/>
  </r>
  <r>
    <n v="1"/>
    <n v="3"/>
    <x v="2"/>
    <s v="RENDIDA"/>
    <s v="2018-04-04"/>
    <x v="735"/>
    <x v="0"/>
    <x v="1"/>
    <n v="1"/>
    <n v="1"/>
  </r>
  <r>
    <n v="1"/>
    <n v="3"/>
    <x v="2"/>
    <s v="RENDIDA"/>
    <s v="2018-04-04"/>
    <x v="736"/>
    <x v="0"/>
    <x v="1"/>
    <n v="1"/>
    <n v="1"/>
  </r>
  <r>
    <n v="1"/>
    <n v="3"/>
    <x v="2"/>
    <s v="RENDIDA"/>
    <s v="2018-04-04"/>
    <x v="737"/>
    <x v="0"/>
    <x v="1"/>
    <n v="1"/>
    <n v="1"/>
  </r>
  <r>
    <n v="1"/>
    <n v="3"/>
    <x v="2"/>
    <s v="RENDIDA"/>
    <s v="2018-04-04"/>
    <x v="738"/>
    <x v="0"/>
    <x v="1"/>
    <n v="1"/>
    <n v="1"/>
  </r>
  <r>
    <n v="1"/>
    <n v="3"/>
    <x v="2"/>
    <s v="RENDIDA"/>
    <s v="2018-04-04"/>
    <x v="739"/>
    <x v="0"/>
    <x v="1"/>
    <n v="1"/>
    <n v="1"/>
  </r>
  <r>
    <n v="1"/>
    <n v="3"/>
    <x v="2"/>
    <s v="RENDIDA"/>
    <s v="2018-04-20"/>
    <x v="740"/>
    <x v="0"/>
    <x v="1"/>
    <n v="1"/>
    <n v="1"/>
  </r>
  <r>
    <n v="1"/>
    <n v="3"/>
    <x v="2"/>
    <s v="RENDIDA"/>
    <s v="2018-04-20"/>
    <x v="741"/>
    <x v="0"/>
    <x v="1"/>
    <n v="1"/>
    <n v="1"/>
  </r>
  <r>
    <n v="1"/>
    <n v="3"/>
    <x v="2"/>
    <s v="RENDIDA"/>
    <s v="2018-04-20"/>
    <x v="742"/>
    <x v="0"/>
    <x v="1"/>
    <n v="1"/>
    <n v="1"/>
  </r>
  <r>
    <n v="1"/>
    <n v="3"/>
    <x v="2"/>
    <s v="RENDIDA"/>
    <s v="2018-04-20"/>
    <x v="743"/>
    <x v="0"/>
    <x v="1"/>
    <n v="1"/>
    <n v="1"/>
  </r>
  <r>
    <n v="1"/>
    <n v="3"/>
    <x v="2"/>
    <s v="RENDIDA"/>
    <s v="2018-04-20"/>
    <x v="744"/>
    <x v="0"/>
    <x v="1"/>
    <n v="1"/>
    <n v="1"/>
  </r>
  <r>
    <n v="1"/>
    <n v="3"/>
    <x v="2"/>
    <s v="RENDIDA"/>
    <s v="2018-04-20"/>
    <x v="745"/>
    <x v="0"/>
    <x v="1"/>
    <n v="1"/>
    <n v="1"/>
  </r>
  <r>
    <n v="1"/>
    <n v="3"/>
    <x v="2"/>
    <s v="RENDIDA"/>
    <s v="2018-04-20"/>
    <x v="746"/>
    <x v="0"/>
    <x v="1"/>
    <n v="1"/>
    <n v="1"/>
  </r>
  <r>
    <n v="1"/>
    <n v="3"/>
    <x v="2"/>
    <s v="RENDIDA"/>
    <s v="2018-04-20"/>
    <x v="747"/>
    <x v="0"/>
    <x v="1"/>
    <n v="1"/>
    <n v="1"/>
  </r>
  <r>
    <n v="1"/>
    <n v="3"/>
    <x v="2"/>
    <s v="RENDIDA"/>
    <s v="2018-04-20"/>
    <x v="748"/>
    <x v="0"/>
    <x v="1"/>
    <n v="1"/>
    <n v="1"/>
  </r>
  <r>
    <n v="1"/>
    <n v="3"/>
    <x v="2"/>
    <s v="RENDIDA"/>
    <s v="2018-04-20"/>
    <x v="749"/>
    <x v="0"/>
    <x v="1"/>
    <n v="1"/>
    <n v="1"/>
  </r>
  <r>
    <n v="1"/>
    <n v="3"/>
    <x v="2"/>
    <s v="RENDIDA"/>
    <s v="2018-04-20"/>
    <x v="750"/>
    <x v="0"/>
    <x v="1"/>
    <n v="1"/>
    <n v="1"/>
  </r>
  <r>
    <n v="1"/>
    <n v="3"/>
    <x v="2"/>
    <s v="RENDIDA"/>
    <s v="2018-04-20"/>
    <x v="751"/>
    <x v="0"/>
    <x v="1"/>
    <n v="1"/>
    <n v="1"/>
  </r>
  <r>
    <n v="1"/>
    <n v="3"/>
    <x v="2"/>
    <s v="RENDIDA"/>
    <s v="2018-04-20"/>
    <x v="752"/>
    <x v="0"/>
    <x v="1"/>
    <n v="1"/>
    <n v="1"/>
  </r>
  <r>
    <n v="1"/>
    <n v="3"/>
    <x v="2"/>
    <s v="RENDIDA"/>
    <s v="2018-04-20"/>
    <x v="753"/>
    <x v="0"/>
    <x v="1"/>
    <n v="1"/>
    <n v="1"/>
  </r>
  <r>
    <n v="1"/>
    <n v="3"/>
    <x v="2"/>
    <s v="RENDIDA"/>
    <s v="2018-04-20"/>
    <x v="754"/>
    <x v="0"/>
    <x v="1"/>
    <n v="1"/>
    <n v="1"/>
  </r>
  <r>
    <n v="1"/>
    <n v="3"/>
    <x v="2"/>
    <s v="RENDIDA"/>
    <s v="2018-04-20"/>
    <x v="755"/>
    <x v="0"/>
    <x v="1"/>
    <n v="1"/>
    <n v="1"/>
  </r>
  <r>
    <n v="1"/>
    <n v="3"/>
    <x v="2"/>
    <s v="RENDIDA"/>
    <s v="2018-04-20"/>
    <x v="756"/>
    <x v="0"/>
    <x v="1"/>
    <n v="1"/>
    <n v="1"/>
  </r>
  <r>
    <n v="1"/>
    <n v="3"/>
    <x v="2"/>
    <s v="RENDIDA"/>
    <s v="2018-04-20"/>
    <x v="757"/>
    <x v="0"/>
    <x v="1"/>
    <n v="1"/>
    <n v="1"/>
  </r>
  <r>
    <n v="1"/>
    <n v="3"/>
    <x v="2"/>
    <s v="RENDIDA"/>
    <s v="2018-04-20"/>
    <x v="758"/>
    <x v="0"/>
    <x v="1"/>
    <n v="1"/>
    <n v="1"/>
  </r>
  <r>
    <n v="1"/>
    <n v="3"/>
    <x v="2"/>
    <s v="RENDIDA"/>
    <s v="2018-04-20"/>
    <x v="759"/>
    <x v="0"/>
    <x v="1"/>
    <n v="1"/>
    <n v="1"/>
  </r>
  <r>
    <n v="1"/>
    <n v="3"/>
    <x v="2"/>
    <s v="RENDIDA"/>
    <s v="2018-04-20"/>
    <x v="760"/>
    <x v="0"/>
    <x v="1"/>
    <n v="1"/>
    <n v="1"/>
  </r>
  <r>
    <n v="1"/>
    <n v="3"/>
    <x v="2"/>
    <s v="RENDIDA"/>
    <s v="2018-04-20"/>
    <x v="761"/>
    <x v="0"/>
    <x v="1"/>
    <n v="1"/>
    <n v="1"/>
  </r>
  <r>
    <n v="1"/>
    <n v="3"/>
    <x v="2"/>
    <s v="RENDIDA"/>
    <s v="2018-04-20"/>
    <x v="762"/>
    <x v="0"/>
    <x v="1"/>
    <n v="1"/>
    <n v="1"/>
  </r>
  <r>
    <n v="1"/>
    <n v="3"/>
    <x v="2"/>
    <s v="RENDIDA"/>
    <s v="2018-04-20"/>
    <x v="763"/>
    <x v="0"/>
    <x v="1"/>
    <n v="1"/>
    <n v="1"/>
  </r>
  <r>
    <n v="1"/>
    <n v="3"/>
    <x v="2"/>
    <s v="RENDIDA"/>
    <s v="2018-04-20"/>
    <x v="764"/>
    <x v="0"/>
    <x v="1"/>
    <n v="1"/>
    <n v="1"/>
  </r>
  <r>
    <n v="1"/>
    <n v="3"/>
    <x v="2"/>
    <s v="RENDIDA"/>
    <s v="2018-04-20"/>
    <x v="765"/>
    <x v="0"/>
    <x v="1"/>
    <n v="1"/>
    <n v="1"/>
  </r>
  <r>
    <n v="1"/>
    <n v="3"/>
    <x v="2"/>
    <s v="RENDIDA"/>
    <s v="2018-04-20"/>
    <x v="766"/>
    <x v="0"/>
    <x v="1"/>
    <n v="1"/>
    <n v="1"/>
  </r>
  <r>
    <n v="1"/>
    <n v="3"/>
    <x v="2"/>
    <s v="RENDIDA"/>
    <s v="2018-04-20"/>
    <x v="767"/>
    <x v="0"/>
    <x v="1"/>
    <n v="1"/>
    <n v="1"/>
  </r>
  <r>
    <n v="1"/>
    <n v="3"/>
    <x v="2"/>
    <s v="RENDIDA"/>
    <s v="2018-04-20"/>
    <x v="768"/>
    <x v="0"/>
    <x v="1"/>
    <n v="1"/>
    <n v="1"/>
  </r>
  <r>
    <n v="1"/>
    <n v="3"/>
    <x v="2"/>
    <s v="RENDIDA"/>
    <s v="2018-04-20"/>
    <x v="769"/>
    <x v="0"/>
    <x v="1"/>
    <n v="1"/>
    <n v="1"/>
  </r>
  <r>
    <n v="1"/>
    <n v="3"/>
    <x v="2"/>
    <s v="RENDIDA"/>
    <s v="2018-04-20"/>
    <x v="770"/>
    <x v="0"/>
    <x v="1"/>
    <n v="1"/>
    <n v="1"/>
  </r>
  <r>
    <n v="1"/>
    <n v="3"/>
    <x v="2"/>
    <s v="RENDIDA"/>
    <s v="2018-04-20"/>
    <x v="771"/>
    <x v="0"/>
    <x v="1"/>
    <n v="1"/>
    <n v="1"/>
  </r>
  <r>
    <n v="1"/>
    <n v="3"/>
    <x v="2"/>
    <s v="RENDIDA"/>
    <s v="2018-04-20"/>
    <x v="772"/>
    <x v="0"/>
    <x v="1"/>
    <n v="1"/>
    <n v="1"/>
  </r>
  <r>
    <n v="1"/>
    <n v="3"/>
    <x v="2"/>
    <s v="RENDIDA"/>
    <s v="2018-04-20"/>
    <x v="773"/>
    <x v="0"/>
    <x v="1"/>
    <n v="1"/>
    <n v="1"/>
  </r>
  <r>
    <n v="1"/>
    <n v="3"/>
    <x v="2"/>
    <s v="RENDIDA"/>
    <s v="2018-04-18"/>
    <x v="774"/>
    <x v="0"/>
    <x v="1"/>
    <n v="1"/>
    <n v="1"/>
  </r>
  <r>
    <n v="1"/>
    <n v="3"/>
    <x v="2"/>
    <s v="RENDIDA"/>
    <s v="2018-04-18"/>
    <x v="775"/>
    <x v="0"/>
    <x v="1"/>
    <n v="1"/>
    <n v="1"/>
  </r>
  <r>
    <n v="1"/>
    <n v="3"/>
    <x v="2"/>
    <s v="RENDIDA"/>
    <s v="2018-04-18"/>
    <x v="776"/>
    <x v="0"/>
    <x v="1"/>
    <n v="1"/>
    <n v="1"/>
  </r>
  <r>
    <n v="1"/>
    <n v="3"/>
    <x v="2"/>
    <s v="RENDIDA"/>
    <s v="2018-04-18"/>
    <x v="777"/>
    <x v="0"/>
    <x v="1"/>
    <n v="1"/>
    <n v="1"/>
  </r>
  <r>
    <n v="1"/>
    <n v="3"/>
    <x v="2"/>
    <s v="RENDIDA"/>
    <s v="2018-04-18"/>
    <x v="778"/>
    <x v="0"/>
    <x v="1"/>
    <n v="1"/>
    <n v="1"/>
  </r>
  <r>
    <n v="1"/>
    <n v="3"/>
    <x v="2"/>
    <s v="RENDIDA"/>
    <s v="2018-04-18"/>
    <x v="779"/>
    <x v="0"/>
    <x v="1"/>
    <n v="1"/>
    <n v="1"/>
  </r>
  <r>
    <n v="1"/>
    <n v="3"/>
    <x v="2"/>
    <s v="RENDIDA"/>
    <s v="2018-04-18"/>
    <x v="780"/>
    <x v="0"/>
    <x v="1"/>
    <n v="1"/>
    <n v="1"/>
  </r>
  <r>
    <n v="1"/>
    <n v="3"/>
    <x v="2"/>
    <s v="RENDIDA"/>
    <s v="2018-04-18"/>
    <x v="781"/>
    <x v="0"/>
    <x v="1"/>
    <n v="1"/>
    <n v="1"/>
  </r>
  <r>
    <n v="1"/>
    <n v="3"/>
    <x v="2"/>
    <s v="RENDIDA"/>
    <s v="2018-04-18"/>
    <x v="782"/>
    <x v="0"/>
    <x v="1"/>
    <n v="1"/>
    <n v="1"/>
  </r>
  <r>
    <n v="1"/>
    <n v="3"/>
    <x v="2"/>
    <s v="RENDIDA"/>
    <s v="2018-04-18"/>
    <x v="783"/>
    <x v="0"/>
    <x v="1"/>
    <n v="1"/>
    <n v="1"/>
  </r>
  <r>
    <n v="1"/>
    <n v="3"/>
    <x v="2"/>
    <s v="RENDIDA"/>
    <s v="2018-04-18"/>
    <x v="784"/>
    <x v="0"/>
    <x v="1"/>
    <n v="1"/>
    <n v="1"/>
  </r>
  <r>
    <n v="1"/>
    <n v="3"/>
    <x v="2"/>
    <s v="RENDIDA"/>
    <s v="2018-04-18"/>
    <x v="785"/>
    <x v="0"/>
    <x v="1"/>
    <n v="1"/>
    <n v="1"/>
  </r>
  <r>
    <n v="1"/>
    <n v="3"/>
    <x v="2"/>
    <s v="RENDIDA"/>
    <s v="2018-04-18"/>
    <x v="786"/>
    <x v="0"/>
    <x v="1"/>
    <n v="1"/>
    <n v="1"/>
  </r>
  <r>
    <n v="1"/>
    <n v="3"/>
    <x v="2"/>
    <s v="RENDIDA"/>
    <s v="2018-04-19"/>
    <x v="787"/>
    <x v="0"/>
    <x v="1"/>
    <n v="1"/>
    <n v="1"/>
  </r>
  <r>
    <n v="1"/>
    <n v="3"/>
    <x v="2"/>
    <s v="RENDIDA"/>
    <s v="2018-04-19"/>
    <x v="788"/>
    <x v="0"/>
    <x v="1"/>
    <n v="1"/>
    <n v="1"/>
  </r>
  <r>
    <n v="1"/>
    <n v="3"/>
    <x v="2"/>
    <s v="RENDIDA"/>
    <s v="2018-04-19"/>
    <x v="789"/>
    <x v="0"/>
    <x v="1"/>
    <n v="1"/>
    <n v="1"/>
  </r>
  <r>
    <n v="1"/>
    <n v="3"/>
    <x v="2"/>
    <s v="RENDIDA"/>
    <s v="2018-04-19"/>
    <x v="790"/>
    <x v="0"/>
    <x v="1"/>
    <n v="1"/>
    <n v="1"/>
  </r>
  <r>
    <n v="1"/>
    <n v="3"/>
    <x v="2"/>
    <s v="RENDIDA"/>
    <s v="2018-04-19"/>
    <x v="791"/>
    <x v="0"/>
    <x v="1"/>
    <n v="1"/>
    <n v="1"/>
  </r>
  <r>
    <n v="1"/>
    <n v="3"/>
    <x v="2"/>
    <s v="RENDIDA"/>
    <s v="2018-04-19"/>
    <x v="792"/>
    <x v="0"/>
    <x v="1"/>
    <n v="1"/>
    <n v="1"/>
  </r>
  <r>
    <n v="1"/>
    <n v="3"/>
    <x v="2"/>
    <s v="RENDIDA"/>
    <s v="2018-04-19"/>
    <x v="793"/>
    <x v="0"/>
    <x v="1"/>
    <n v="1"/>
    <n v="1"/>
  </r>
  <r>
    <n v="1"/>
    <n v="3"/>
    <x v="2"/>
    <s v="RENDIDA"/>
    <s v="2018-04-19"/>
    <x v="794"/>
    <x v="0"/>
    <x v="1"/>
    <n v="1"/>
    <n v="1"/>
  </r>
  <r>
    <n v="1"/>
    <n v="3"/>
    <x v="2"/>
    <s v="RENDIDA"/>
    <s v="2018-04-19"/>
    <x v="795"/>
    <x v="0"/>
    <x v="1"/>
    <n v="1"/>
    <n v="1"/>
  </r>
  <r>
    <n v="1"/>
    <n v="3"/>
    <x v="2"/>
    <s v="RENDIDA"/>
    <s v="2018-04-19"/>
    <x v="796"/>
    <x v="0"/>
    <x v="1"/>
    <n v="1"/>
    <n v="1"/>
  </r>
  <r>
    <n v="1"/>
    <n v="3"/>
    <x v="2"/>
    <s v="RENDIDA"/>
    <s v="2018-04-19"/>
    <x v="797"/>
    <x v="0"/>
    <x v="1"/>
    <n v="1"/>
    <n v="1"/>
  </r>
  <r>
    <n v="1"/>
    <n v="3"/>
    <x v="2"/>
    <s v="RENDIDA"/>
    <s v="2018-04-19"/>
    <x v="798"/>
    <x v="0"/>
    <x v="1"/>
    <n v="1"/>
    <n v="1"/>
  </r>
  <r>
    <n v="1"/>
    <n v="3"/>
    <x v="2"/>
    <s v="RENDIDA"/>
    <s v="2018-04-19"/>
    <x v="799"/>
    <x v="0"/>
    <x v="1"/>
    <n v="1"/>
    <n v="1"/>
  </r>
  <r>
    <n v="1"/>
    <n v="3"/>
    <x v="2"/>
    <s v="RENDIDA"/>
    <s v="2018-04-19"/>
    <x v="800"/>
    <x v="0"/>
    <x v="1"/>
    <n v="1"/>
    <n v="1"/>
  </r>
  <r>
    <n v="1"/>
    <n v="3"/>
    <x v="2"/>
    <s v="RENDIDA"/>
    <s v="2018-04-19"/>
    <x v="801"/>
    <x v="0"/>
    <x v="1"/>
    <n v="1"/>
    <n v="1"/>
  </r>
  <r>
    <n v="1"/>
    <n v="3"/>
    <x v="2"/>
    <s v="RENDIDA"/>
    <s v="2018-04-19"/>
    <x v="802"/>
    <x v="0"/>
    <x v="1"/>
    <n v="1"/>
    <n v="1"/>
  </r>
  <r>
    <n v="1"/>
    <n v="3"/>
    <x v="2"/>
    <s v="RENDIDA"/>
    <s v="2018-04-19"/>
    <x v="803"/>
    <x v="0"/>
    <x v="1"/>
    <n v="1"/>
    <n v="1"/>
  </r>
  <r>
    <n v="1"/>
    <n v="3"/>
    <x v="2"/>
    <s v="RENDIDA"/>
    <s v="2018-04-19"/>
    <x v="804"/>
    <x v="0"/>
    <x v="1"/>
    <n v="1"/>
    <n v="1"/>
  </r>
  <r>
    <n v="1"/>
    <n v="3"/>
    <x v="2"/>
    <s v="RENDIDA"/>
    <s v="2018-04-23"/>
    <x v="805"/>
    <x v="0"/>
    <x v="1"/>
    <n v="1"/>
    <n v="1"/>
  </r>
  <r>
    <n v="1"/>
    <n v="3"/>
    <x v="2"/>
    <s v="RENDIDA"/>
    <s v="2018-04-23"/>
    <x v="806"/>
    <x v="0"/>
    <x v="1"/>
    <n v="1"/>
    <n v="1"/>
  </r>
  <r>
    <n v="1"/>
    <n v="3"/>
    <x v="2"/>
    <s v="RENDIDA"/>
    <s v="2018-04-23"/>
    <x v="807"/>
    <x v="0"/>
    <x v="1"/>
    <n v="1"/>
    <n v="1"/>
  </r>
  <r>
    <n v="1"/>
    <n v="3"/>
    <x v="2"/>
    <s v="RENDIDA"/>
    <s v="2018-04-23"/>
    <x v="808"/>
    <x v="0"/>
    <x v="1"/>
    <n v="1"/>
    <n v="1"/>
  </r>
  <r>
    <n v="1"/>
    <n v="3"/>
    <x v="2"/>
    <s v="RENDIDA"/>
    <s v="2018-04-23"/>
    <x v="809"/>
    <x v="0"/>
    <x v="1"/>
    <n v="1"/>
    <n v="1"/>
  </r>
  <r>
    <n v="1"/>
    <n v="3"/>
    <x v="2"/>
    <s v="RENDIDA"/>
    <s v="2018-04-19"/>
    <x v="810"/>
    <x v="0"/>
    <x v="1"/>
    <n v="1"/>
    <n v="1"/>
  </r>
  <r>
    <n v="1"/>
    <n v="3"/>
    <x v="2"/>
    <s v="RENDIDA"/>
    <s v="2018-04-23"/>
    <x v="810"/>
    <x v="0"/>
    <x v="1"/>
    <n v="1"/>
    <n v="1"/>
  </r>
  <r>
    <n v="1"/>
    <n v="3"/>
    <x v="2"/>
    <s v="RENDIDA"/>
    <s v="2018-04-23"/>
    <x v="811"/>
    <x v="0"/>
    <x v="1"/>
    <n v="1"/>
    <n v="1"/>
  </r>
  <r>
    <n v="1"/>
    <n v="3"/>
    <x v="2"/>
    <s v="RENDIDA"/>
    <s v="2018-04-23"/>
    <x v="812"/>
    <x v="0"/>
    <x v="1"/>
    <n v="1"/>
    <n v="1"/>
  </r>
  <r>
    <n v="1"/>
    <n v="3"/>
    <x v="2"/>
    <s v="RENDIDA"/>
    <s v="2018-04-23"/>
    <x v="813"/>
    <x v="0"/>
    <x v="1"/>
    <n v="1"/>
    <n v="1"/>
  </r>
  <r>
    <n v="1"/>
    <n v="3"/>
    <x v="2"/>
    <s v="RENDIDA"/>
    <s v="2018-04-23"/>
    <x v="814"/>
    <x v="0"/>
    <x v="1"/>
    <n v="1"/>
    <n v="1"/>
  </r>
  <r>
    <n v="1"/>
    <n v="3"/>
    <x v="2"/>
    <s v="RENDIDA"/>
    <s v="2018-04-23"/>
    <x v="815"/>
    <x v="0"/>
    <x v="1"/>
    <n v="1"/>
    <n v="1"/>
  </r>
  <r>
    <n v="1"/>
    <n v="3"/>
    <x v="2"/>
    <s v="RENDIDA"/>
    <s v="2018-04-25"/>
    <x v="816"/>
    <x v="0"/>
    <x v="1"/>
    <n v="1"/>
    <n v="1"/>
  </r>
  <r>
    <n v="1"/>
    <n v="3"/>
    <x v="2"/>
    <s v="RENDIDA"/>
    <s v="2018-04-25"/>
    <x v="817"/>
    <x v="0"/>
    <x v="1"/>
    <n v="1"/>
    <n v="1"/>
  </r>
  <r>
    <n v="1"/>
    <n v="3"/>
    <x v="2"/>
    <s v="RENDIDA"/>
    <s v="2018-04-25"/>
    <x v="818"/>
    <x v="0"/>
    <x v="1"/>
    <n v="1"/>
    <n v="1"/>
  </r>
  <r>
    <n v="1"/>
    <n v="3"/>
    <x v="2"/>
    <s v="RENDIDA"/>
    <s v="2018-04-25"/>
    <x v="819"/>
    <x v="0"/>
    <x v="1"/>
    <n v="1"/>
    <n v="1"/>
  </r>
  <r>
    <n v="1"/>
    <n v="3"/>
    <x v="2"/>
    <s v="RENDIDA"/>
    <s v="2018-04-25"/>
    <x v="820"/>
    <x v="0"/>
    <x v="1"/>
    <n v="1"/>
    <n v="1"/>
  </r>
  <r>
    <n v="1"/>
    <n v="3"/>
    <x v="2"/>
    <s v="RENDIDA"/>
    <s v="2018-04-25"/>
    <x v="821"/>
    <x v="0"/>
    <x v="1"/>
    <n v="1"/>
    <n v="1"/>
  </r>
  <r>
    <n v="1"/>
    <n v="3"/>
    <x v="2"/>
    <s v="RENDIDA"/>
    <s v="2018-04-25"/>
    <x v="822"/>
    <x v="0"/>
    <x v="1"/>
    <n v="1"/>
    <n v="1"/>
  </r>
  <r>
    <n v="1"/>
    <n v="3"/>
    <x v="2"/>
    <s v="RENDIDA"/>
    <s v="2018-04-25"/>
    <x v="823"/>
    <x v="0"/>
    <x v="1"/>
    <n v="1"/>
    <n v="1"/>
  </r>
  <r>
    <n v="1"/>
    <n v="3"/>
    <x v="2"/>
    <s v="RENDIDA"/>
    <s v="2018-04-25"/>
    <x v="824"/>
    <x v="0"/>
    <x v="1"/>
    <n v="1"/>
    <n v="1"/>
  </r>
  <r>
    <n v="1"/>
    <n v="3"/>
    <x v="2"/>
    <s v="RENDIDA"/>
    <s v="2018-04-25"/>
    <x v="825"/>
    <x v="0"/>
    <x v="1"/>
    <n v="1"/>
    <n v="1"/>
  </r>
  <r>
    <n v="1"/>
    <n v="3"/>
    <x v="2"/>
    <s v="RENDIDA"/>
    <s v="2018-04-25"/>
    <x v="826"/>
    <x v="0"/>
    <x v="1"/>
    <n v="1"/>
    <n v="1"/>
  </r>
  <r>
    <n v="1"/>
    <n v="3"/>
    <x v="2"/>
    <s v="RENDIDA"/>
    <s v="2018-04-25"/>
    <x v="827"/>
    <x v="0"/>
    <x v="1"/>
    <n v="1"/>
    <n v="1"/>
  </r>
  <r>
    <n v="1"/>
    <n v="3"/>
    <x v="2"/>
    <s v="RENDIDA"/>
    <s v="2018-04-25"/>
    <x v="828"/>
    <x v="0"/>
    <x v="1"/>
    <n v="1"/>
    <n v="1"/>
  </r>
  <r>
    <n v="1"/>
    <n v="3"/>
    <x v="2"/>
    <s v="RENDIDA"/>
    <s v="2018-04-25"/>
    <x v="829"/>
    <x v="0"/>
    <x v="1"/>
    <n v="1"/>
    <n v="1"/>
  </r>
  <r>
    <n v="1"/>
    <n v="3"/>
    <x v="2"/>
    <s v="RENDIDA"/>
    <s v="2018-04-25"/>
    <x v="830"/>
    <x v="0"/>
    <x v="1"/>
    <n v="1"/>
    <n v="1"/>
  </r>
  <r>
    <n v="1"/>
    <n v="3"/>
    <x v="2"/>
    <s v="RENDIDA"/>
    <s v="2018-04-25"/>
    <x v="831"/>
    <x v="0"/>
    <x v="1"/>
    <n v="1"/>
    <n v="1"/>
  </r>
  <r>
    <n v="1"/>
    <n v="3"/>
    <x v="2"/>
    <s v="RENDIDA"/>
    <s v="2018-04-25"/>
    <x v="832"/>
    <x v="0"/>
    <x v="1"/>
    <n v="1"/>
    <n v="1"/>
  </r>
  <r>
    <n v="1"/>
    <n v="3"/>
    <x v="0"/>
    <s v="RENDIDA"/>
    <s v="2018-03-09"/>
    <x v="833"/>
    <x v="0"/>
    <x v="0"/>
    <n v="1"/>
    <n v="1"/>
  </r>
  <r>
    <n v="1"/>
    <n v="3"/>
    <x v="0"/>
    <s v="RENDIDA"/>
    <s v="2018-03-09"/>
    <x v="834"/>
    <x v="0"/>
    <x v="0"/>
    <n v="1"/>
    <n v="1"/>
  </r>
  <r>
    <n v="1"/>
    <n v="3"/>
    <x v="0"/>
    <s v="RENDIDA"/>
    <s v="2018-03-09"/>
    <x v="835"/>
    <x v="0"/>
    <x v="0"/>
    <n v="1"/>
    <n v="1"/>
  </r>
  <r>
    <n v="1"/>
    <n v="3"/>
    <x v="0"/>
    <s v="RENDIDA"/>
    <s v="2018-03-09"/>
    <x v="836"/>
    <x v="0"/>
    <x v="0"/>
    <n v="1"/>
    <n v="1"/>
  </r>
  <r>
    <n v="1"/>
    <n v="3"/>
    <x v="0"/>
    <s v="RENDIDA"/>
    <s v="2018-03-09"/>
    <x v="837"/>
    <x v="0"/>
    <x v="0"/>
    <n v="1"/>
    <n v="1"/>
  </r>
  <r>
    <n v="1"/>
    <n v="3"/>
    <x v="0"/>
    <s v="RENDIDA"/>
    <s v="2018-03-09"/>
    <x v="838"/>
    <x v="0"/>
    <x v="0"/>
    <n v="1"/>
    <n v="1"/>
  </r>
  <r>
    <n v="1"/>
    <n v="3"/>
    <x v="0"/>
    <s v="RENDIDA"/>
    <s v="2018-03-09"/>
    <x v="839"/>
    <x v="0"/>
    <x v="0"/>
    <n v="1"/>
    <n v="1"/>
  </r>
  <r>
    <n v="1"/>
    <n v="3"/>
    <x v="0"/>
    <s v="RENDIDA"/>
    <s v="2018-03-09"/>
    <x v="840"/>
    <x v="0"/>
    <x v="0"/>
    <n v="1"/>
    <n v="1"/>
  </r>
  <r>
    <n v="1"/>
    <n v="3"/>
    <x v="0"/>
    <s v="RENDIDA"/>
    <s v="2018-03-09"/>
    <x v="841"/>
    <x v="0"/>
    <x v="0"/>
    <n v="1"/>
    <n v="1"/>
  </r>
  <r>
    <n v="1"/>
    <n v="3"/>
    <x v="0"/>
    <s v="RENDIDA"/>
    <s v="2018-03-09"/>
    <x v="842"/>
    <x v="0"/>
    <x v="0"/>
    <n v="1"/>
    <n v="1"/>
  </r>
  <r>
    <n v="1"/>
    <n v="3"/>
    <x v="0"/>
    <s v="RENDIDA"/>
    <s v="2018-03-09"/>
    <x v="843"/>
    <x v="0"/>
    <x v="0"/>
    <n v="1"/>
    <n v="1"/>
  </r>
  <r>
    <n v="1"/>
    <n v="3"/>
    <x v="0"/>
    <s v="RENDIDA"/>
    <s v="2018-03-09"/>
    <x v="844"/>
    <x v="0"/>
    <x v="0"/>
    <n v="1"/>
    <n v="1"/>
  </r>
  <r>
    <n v="1"/>
    <n v="3"/>
    <x v="0"/>
    <s v="RENDIDA"/>
    <s v="2018-03-09"/>
    <x v="845"/>
    <x v="0"/>
    <x v="0"/>
    <n v="1"/>
    <n v="1"/>
  </r>
  <r>
    <n v="1"/>
    <n v="3"/>
    <x v="0"/>
    <s v="RENDIDA"/>
    <s v="2018-03-09"/>
    <x v="846"/>
    <x v="0"/>
    <x v="0"/>
    <n v="1"/>
    <n v="1"/>
  </r>
  <r>
    <n v="1"/>
    <n v="3"/>
    <x v="0"/>
    <s v="RENDIDA"/>
    <s v="2018-03-09"/>
    <x v="847"/>
    <x v="0"/>
    <x v="0"/>
    <n v="1"/>
    <n v="1"/>
  </r>
  <r>
    <n v="1"/>
    <n v="3"/>
    <x v="0"/>
    <s v="RENDIDA"/>
    <s v="2018-03-09"/>
    <x v="848"/>
    <x v="0"/>
    <x v="0"/>
    <n v="1"/>
    <n v="1"/>
  </r>
  <r>
    <n v="1"/>
    <n v="3"/>
    <x v="0"/>
    <s v="SIN RENDIR"/>
    <s v="2018-03-09"/>
    <x v="849"/>
    <x v="0"/>
    <x v="0"/>
    <n v="0"/>
    <n v="1"/>
  </r>
  <r>
    <n v="1"/>
    <n v="3"/>
    <x v="0"/>
    <s v="RENDIDA"/>
    <s v="2018-03-09"/>
    <x v="850"/>
    <x v="0"/>
    <x v="0"/>
    <n v="1"/>
    <n v="1"/>
  </r>
  <r>
    <n v="1"/>
    <n v="3"/>
    <x v="0"/>
    <s v="RENDIDA"/>
    <s v="2018-03-09"/>
    <x v="851"/>
    <x v="0"/>
    <x v="0"/>
    <n v="1"/>
    <n v="1"/>
  </r>
  <r>
    <n v="1"/>
    <n v="3"/>
    <x v="0"/>
    <s v="RENDIDA"/>
    <s v="2018-03-09"/>
    <x v="852"/>
    <x v="0"/>
    <x v="0"/>
    <n v="1"/>
    <n v="1"/>
  </r>
  <r>
    <n v="1"/>
    <n v="3"/>
    <x v="0"/>
    <s v="SIN RENDIR"/>
    <s v="2018-03-09"/>
    <x v="853"/>
    <x v="0"/>
    <x v="0"/>
    <n v="0"/>
    <n v="1"/>
  </r>
  <r>
    <n v="1"/>
    <n v="3"/>
    <x v="0"/>
    <s v="RENDIDA"/>
    <s v="2018-03-09"/>
    <x v="854"/>
    <x v="0"/>
    <x v="0"/>
    <n v="1"/>
    <n v="1"/>
  </r>
  <r>
    <n v="1"/>
    <n v="3"/>
    <x v="0"/>
    <s v="RENDIDA"/>
    <s v="2018-03-09"/>
    <x v="855"/>
    <x v="0"/>
    <x v="0"/>
    <n v="1"/>
    <n v="1"/>
  </r>
  <r>
    <n v="1"/>
    <n v="3"/>
    <x v="0"/>
    <s v="RENDIDA"/>
    <s v="2018-03-09"/>
    <x v="856"/>
    <x v="0"/>
    <x v="0"/>
    <n v="1"/>
    <n v="1"/>
  </r>
  <r>
    <n v="1"/>
    <n v="3"/>
    <x v="0"/>
    <s v="RENDIDA"/>
    <s v="2018-03-09"/>
    <x v="857"/>
    <x v="0"/>
    <x v="0"/>
    <n v="1"/>
    <n v="1"/>
  </r>
  <r>
    <n v="1"/>
    <n v="3"/>
    <x v="0"/>
    <s v="RENDIDA"/>
    <s v="2018-03-09"/>
    <x v="858"/>
    <x v="0"/>
    <x v="0"/>
    <n v="1"/>
    <n v="1"/>
  </r>
  <r>
    <n v="1"/>
    <n v="3"/>
    <x v="0"/>
    <s v="RENDIDA"/>
    <s v="2018-03-09"/>
    <x v="859"/>
    <x v="0"/>
    <x v="0"/>
    <n v="1"/>
    <n v="1"/>
  </r>
  <r>
    <n v="1"/>
    <n v="3"/>
    <x v="0"/>
    <s v="RENDIDA"/>
    <s v="2018-03-09"/>
    <x v="860"/>
    <x v="0"/>
    <x v="0"/>
    <n v="1"/>
    <n v="1"/>
  </r>
  <r>
    <n v="1"/>
    <n v="3"/>
    <x v="0"/>
    <s v="RENDIDA"/>
    <s v="2018-03-09"/>
    <x v="861"/>
    <x v="0"/>
    <x v="0"/>
    <n v="1"/>
    <n v="1"/>
  </r>
  <r>
    <n v="1"/>
    <n v="3"/>
    <x v="0"/>
    <s v="RENDIDA"/>
    <s v="2018-03-12"/>
    <x v="862"/>
    <x v="0"/>
    <x v="0"/>
    <n v="1"/>
    <n v="1"/>
  </r>
  <r>
    <n v="1"/>
    <n v="3"/>
    <x v="0"/>
    <s v="RENDIDA"/>
    <s v="2018-03-13"/>
    <x v="863"/>
    <x v="0"/>
    <x v="0"/>
    <n v="1"/>
    <n v="1"/>
  </r>
  <r>
    <n v="1"/>
    <n v="3"/>
    <x v="0"/>
    <s v="SIN RENDIR"/>
    <s v="2018-03-13"/>
    <x v="864"/>
    <x v="0"/>
    <x v="0"/>
    <n v="0"/>
    <n v="1"/>
  </r>
  <r>
    <n v="1"/>
    <n v="3"/>
    <x v="0"/>
    <s v="RENDIDA"/>
    <s v="2018-03-13"/>
    <x v="865"/>
    <x v="0"/>
    <x v="0"/>
    <n v="1"/>
    <n v="1"/>
  </r>
  <r>
    <n v="1"/>
    <n v="3"/>
    <x v="0"/>
    <s v="RENDIDA"/>
    <s v="2018-03-13"/>
    <x v="866"/>
    <x v="0"/>
    <x v="0"/>
    <n v="1"/>
    <n v="1"/>
  </r>
  <r>
    <n v="1"/>
    <n v="3"/>
    <x v="0"/>
    <s v="RENDIDA"/>
    <s v="2018-03-13"/>
    <x v="867"/>
    <x v="0"/>
    <x v="0"/>
    <n v="1"/>
    <n v="1"/>
  </r>
  <r>
    <n v="1"/>
    <n v="3"/>
    <x v="0"/>
    <s v="RENDIDA"/>
    <s v="2018-03-13"/>
    <x v="868"/>
    <x v="0"/>
    <x v="0"/>
    <n v="1"/>
    <n v="1"/>
  </r>
  <r>
    <n v="1"/>
    <n v="3"/>
    <x v="0"/>
    <s v="RENDIDA"/>
    <s v="2018-03-13"/>
    <x v="869"/>
    <x v="0"/>
    <x v="0"/>
    <n v="1"/>
    <n v="1"/>
  </r>
  <r>
    <n v="1"/>
    <n v="3"/>
    <x v="0"/>
    <s v="RENDIDA"/>
    <s v="2018-03-13"/>
    <x v="870"/>
    <x v="0"/>
    <x v="0"/>
    <n v="1"/>
    <n v="1"/>
  </r>
  <r>
    <n v="1"/>
    <n v="3"/>
    <x v="0"/>
    <s v="RENDIDA"/>
    <s v="2018-03-13"/>
    <x v="871"/>
    <x v="0"/>
    <x v="0"/>
    <n v="1"/>
    <n v="1"/>
  </r>
  <r>
    <n v="1"/>
    <n v="3"/>
    <x v="2"/>
    <s v="RENDIDA"/>
    <s v="2018-04-30"/>
    <x v="872"/>
    <x v="0"/>
    <x v="1"/>
    <n v="1"/>
    <n v="1"/>
  </r>
  <r>
    <n v="1"/>
    <n v="3"/>
    <x v="2"/>
    <s v="RENDIDA"/>
    <s v="2018-04-30"/>
    <x v="873"/>
    <x v="0"/>
    <x v="1"/>
    <n v="1"/>
    <n v="1"/>
  </r>
  <r>
    <n v="1"/>
    <n v="3"/>
    <x v="2"/>
    <s v="RENDIDA"/>
    <s v="2018-05-04"/>
    <x v="874"/>
    <x v="0"/>
    <x v="2"/>
    <n v="1"/>
    <n v="1"/>
  </r>
  <r>
    <n v="1"/>
    <n v="3"/>
    <x v="2"/>
    <s v="RENDIDA"/>
    <s v="2018-05-04"/>
    <x v="875"/>
    <x v="0"/>
    <x v="2"/>
    <n v="1"/>
    <n v="1"/>
  </r>
  <r>
    <n v="1"/>
    <n v="3"/>
    <x v="2"/>
    <s v="RENDIDA"/>
    <s v="2018-05-04"/>
    <x v="876"/>
    <x v="0"/>
    <x v="2"/>
    <n v="1"/>
    <n v="1"/>
  </r>
  <r>
    <n v="1"/>
    <n v="3"/>
    <x v="2"/>
    <s v="RENDIDA"/>
    <s v="2018-05-04"/>
    <x v="877"/>
    <x v="0"/>
    <x v="2"/>
    <n v="1"/>
    <n v="1"/>
  </r>
  <r>
    <n v="1"/>
    <n v="3"/>
    <x v="2"/>
    <s v="RENDIDA"/>
    <s v="2018-05-04"/>
    <x v="878"/>
    <x v="0"/>
    <x v="2"/>
    <n v="1"/>
    <n v="1"/>
  </r>
  <r>
    <n v="1"/>
    <n v="3"/>
    <x v="2"/>
    <s v="RENDIDA"/>
    <s v="2018-05-04"/>
    <x v="879"/>
    <x v="0"/>
    <x v="2"/>
    <n v="1"/>
    <n v="1"/>
  </r>
  <r>
    <n v="1"/>
    <n v="3"/>
    <x v="2"/>
    <s v="RENDIDA"/>
    <s v="2018-05-04"/>
    <x v="880"/>
    <x v="0"/>
    <x v="2"/>
    <n v="1"/>
    <n v="1"/>
  </r>
  <r>
    <n v="1"/>
    <n v="3"/>
    <x v="2"/>
    <s v="RENDIDA"/>
    <s v="2018-05-04"/>
    <x v="881"/>
    <x v="0"/>
    <x v="2"/>
    <n v="1"/>
    <n v="1"/>
  </r>
  <r>
    <n v="1"/>
    <n v="3"/>
    <x v="2"/>
    <s v="RENDIDA"/>
    <s v="2018-05-04"/>
    <x v="882"/>
    <x v="0"/>
    <x v="2"/>
    <n v="1"/>
    <n v="1"/>
  </r>
  <r>
    <n v="1"/>
    <n v="3"/>
    <x v="2"/>
    <s v="RENDIDA"/>
    <s v="2018-05-04"/>
    <x v="883"/>
    <x v="0"/>
    <x v="2"/>
    <n v="1"/>
    <n v="1"/>
  </r>
  <r>
    <n v="1"/>
    <n v="3"/>
    <x v="2"/>
    <s v="RENDIDA"/>
    <s v="2018-05-04"/>
    <x v="884"/>
    <x v="0"/>
    <x v="2"/>
    <n v="1"/>
    <n v="1"/>
  </r>
  <r>
    <n v="1"/>
    <n v="3"/>
    <x v="2"/>
    <s v="RENDIDA"/>
    <s v="2018-05-04"/>
    <x v="885"/>
    <x v="0"/>
    <x v="2"/>
    <n v="1"/>
    <n v="1"/>
  </r>
  <r>
    <n v="1"/>
    <n v="3"/>
    <x v="2"/>
    <s v="RENDIDA"/>
    <s v="2018-05-04"/>
    <x v="886"/>
    <x v="0"/>
    <x v="2"/>
    <n v="1"/>
    <n v="1"/>
  </r>
  <r>
    <n v="1"/>
    <n v="3"/>
    <x v="2"/>
    <s v="RENDIDA"/>
    <s v="2018-05-04"/>
    <x v="887"/>
    <x v="0"/>
    <x v="2"/>
    <n v="1"/>
    <n v="1"/>
  </r>
  <r>
    <n v="1"/>
    <n v="3"/>
    <x v="2"/>
    <s v="RENDIDA"/>
    <s v="2018-05-04"/>
    <x v="888"/>
    <x v="0"/>
    <x v="2"/>
    <n v="1"/>
    <n v="1"/>
  </r>
  <r>
    <n v="1"/>
    <n v="3"/>
    <x v="2"/>
    <s v="RENDIDA"/>
    <s v="2018-05-04"/>
    <x v="889"/>
    <x v="0"/>
    <x v="2"/>
    <n v="1"/>
    <n v="1"/>
  </r>
  <r>
    <n v="1"/>
    <n v="3"/>
    <x v="2"/>
    <s v="RENDIDA"/>
    <s v="2018-05-09"/>
    <x v="890"/>
    <x v="0"/>
    <x v="2"/>
    <n v="1"/>
    <n v="1"/>
  </r>
  <r>
    <n v="1"/>
    <n v="3"/>
    <x v="2"/>
    <s v="RENDIDA"/>
    <s v="2018-05-09"/>
    <x v="891"/>
    <x v="0"/>
    <x v="2"/>
    <n v="1"/>
    <n v="1"/>
  </r>
  <r>
    <n v="1"/>
    <n v="3"/>
    <x v="2"/>
    <s v="RENDIDA"/>
    <s v="2018-05-09"/>
    <x v="892"/>
    <x v="0"/>
    <x v="2"/>
    <n v="1"/>
    <n v="1"/>
  </r>
  <r>
    <n v="1"/>
    <n v="3"/>
    <x v="2"/>
    <s v="RENDIDA"/>
    <s v="2018-05-09"/>
    <x v="893"/>
    <x v="0"/>
    <x v="2"/>
    <n v="1"/>
    <n v="1"/>
  </r>
  <r>
    <n v="1"/>
    <n v="3"/>
    <x v="2"/>
    <s v="RENDIDA"/>
    <s v="2018-05-09"/>
    <x v="894"/>
    <x v="0"/>
    <x v="2"/>
    <n v="1"/>
    <n v="1"/>
  </r>
  <r>
    <n v="1"/>
    <n v="3"/>
    <x v="2"/>
    <s v="RENDIDA"/>
    <s v="2018-05-09"/>
    <x v="895"/>
    <x v="0"/>
    <x v="2"/>
    <n v="1"/>
    <n v="1"/>
  </r>
  <r>
    <n v="1"/>
    <n v="3"/>
    <x v="2"/>
    <s v="RENDIDA"/>
    <s v="2018-05-09"/>
    <x v="896"/>
    <x v="0"/>
    <x v="2"/>
    <n v="1"/>
    <n v="1"/>
  </r>
  <r>
    <n v="1"/>
    <n v="3"/>
    <x v="2"/>
    <s v="RENDIDA"/>
    <s v="2018-05-09"/>
    <x v="897"/>
    <x v="0"/>
    <x v="2"/>
    <n v="1"/>
    <n v="1"/>
  </r>
  <r>
    <n v="1"/>
    <n v="3"/>
    <x v="2"/>
    <s v="RENDIDA"/>
    <s v="2018-05-09"/>
    <x v="898"/>
    <x v="0"/>
    <x v="2"/>
    <n v="1"/>
    <n v="1"/>
  </r>
  <r>
    <n v="1"/>
    <n v="3"/>
    <x v="2"/>
    <s v="RENDIDA"/>
    <s v="2018-05-09"/>
    <x v="899"/>
    <x v="0"/>
    <x v="2"/>
    <n v="1"/>
    <n v="1"/>
  </r>
  <r>
    <n v="1"/>
    <n v="3"/>
    <x v="2"/>
    <s v="RENDIDA"/>
    <s v="2018-05-09"/>
    <x v="900"/>
    <x v="0"/>
    <x v="2"/>
    <n v="1"/>
    <n v="1"/>
  </r>
  <r>
    <n v="1"/>
    <n v="3"/>
    <x v="2"/>
    <s v="RENDIDA"/>
    <s v="2018-05-09"/>
    <x v="901"/>
    <x v="0"/>
    <x v="2"/>
    <n v="1"/>
    <n v="1"/>
  </r>
  <r>
    <n v="1"/>
    <n v="3"/>
    <x v="2"/>
    <s v="RENDIDA"/>
    <s v="2018-05-09"/>
    <x v="902"/>
    <x v="0"/>
    <x v="2"/>
    <n v="1"/>
    <n v="1"/>
  </r>
  <r>
    <n v="1"/>
    <n v="3"/>
    <x v="2"/>
    <s v="RENDIDA"/>
    <s v="2018-05-09"/>
    <x v="903"/>
    <x v="0"/>
    <x v="2"/>
    <n v="1"/>
    <n v="1"/>
  </r>
  <r>
    <n v="1"/>
    <n v="3"/>
    <x v="2"/>
    <s v="RENDIDA"/>
    <s v="2018-05-09"/>
    <x v="904"/>
    <x v="0"/>
    <x v="2"/>
    <n v="1"/>
    <n v="1"/>
  </r>
  <r>
    <n v="1"/>
    <n v="3"/>
    <x v="2"/>
    <s v="RENDIDA"/>
    <s v="2018-05-09"/>
    <x v="905"/>
    <x v="0"/>
    <x v="2"/>
    <n v="1"/>
    <n v="1"/>
  </r>
  <r>
    <n v="1"/>
    <n v="3"/>
    <x v="2"/>
    <s v="RENDIDA"/>
    <s v="2018-05-09"/>
    <x v="906"/>
    <x v="0"/>
    <x v="2"/>
    <n v="1"/>
    <n v="1"/>
  </r>
  <r>
    <n v="1"/>
    <n v="3"/>
    <x v="2"/>
    <s v="RENDIDA"/>
    <s v="2018-05-09"/>
    <x v="907"/>
    <x v="0"/>
    <x v="2"/>
    <n v="1"/>
    <n v="1"/>
  </r>
  <r>
    <n v="1"/>
    <n v="3"/>
    <x v="2"/>
    <s v="RENDIDA"/>
    <s v="2018-05-09"/>
    <x v="908"/>
    <x v="0"/>
    <x v="2"/>
    <n v="1"/>
    <n v="1"/>
  </r>
  <r>
    <n v="1"/>
    <n v="3"/>
    <x v="2"/>
    <s v="RENDIDA"/>
    <s v="2018-05-09"/>
    <x v="909"/>
    <x v="0"/>
    <x v="2"/>
    <n v="1"/>
    <n v="1"/>
  </r>
  <r>
    <n v="1"/>
    <n v="3"/>
    <x v="2"/>
    <s v="RENDIDA"/>
    <s v="2018-05-09"/>
    <x v="910"/>
    <x v="0"/>
    <x v="2"/>
    <n v="1"/>
    <n v="1"/>
  </r>
  <r>
    <n v="1"/>
    <n v="3"/>
    <x v="2"/>
    <s v="RENDIDA"/>
    <s v="2018-05-09"/>
    <x v="911"/>
    <x v="0"/>
    <x v="2"/>
    <n v="1"/>
    <n v="1"/>
  </r>
  <r>
    <n v="1"/>
    <n v="3"/>
    <x v="2"/>
    <s v="RENDIDA"/>
    <s v="2018-05-09"/>
    <x v="912"/>
    <x v="0"/>
    <x v="2"/>
    <n v="1"/>
    <n v="1"/>
  </r>
  <r>
    <n v="1"/>
    <n v="3"/>
    <x v="2"/>
    <s v="RENDIDA"/>
    <s v="2018-05-09"/>
    <x v="913"/>
    <x v="0"/>
    <x v="2"/>
    <n v="1"/>
    <n v="1"/>
  </r>
  <r>
    <n v="1"/>
    <n v="3"/>
    <x v="2"/>
    <s v="RENDIDA"/>
    <s v="2018-05-09"/>
    <x v="914"/>
    <x v="0"/>
    <x v="2"/>
    <n v="1"/>
    <n v="1"/>
  </r>
  <r>
    <n v="1"/>
    <n v="3"/>
    <x v="2"/>
    <s v="RENDIDA"/>
    <s v="2018-05-09"/>
    <x v="915"/>
    <x v="0"/>
    <x v="2"/>
    <n v="1"/>
    <n v="1"/>
  </r>
  <r>
    <n v="1"/>
    <n v="3"/>
    <x v="2"/>
    <s v="RENDIDA"/>
    <s v="2018-05-11"/>
    <x v="916"/>
    <x v="0"/>
    <x v="2"/>
    <n v="1"/>
    <n v="1"/>
  </r>
  <r>
    <n v="1"/>
    <n v="3"/>
    <x v="2"/>
    <s v="RENDIDA"/>
    <s v="2018-05-11"/>
    <x v="917"/>
    <x v="0"/>
    <x v="2"/>
    <n v="1"/>
    <n v="1"/>
  </r>
  <r>
    <n v="1"/>
    <n v="3"/>
    <x v="2"/>
    <s v="RENDIDA"/>
    <s v="2018-05-11"/>
    <x v="918"/>
    <x v="0"/>
    <x v="2"/>
    <n v="1"/>
    <n v="1"/>
  </r>
  <r>
    <n v="1"/>
    <n v="3"/>
    <x v="0"/>
    <s v="RENDIDA"/>
    <s v="2018-04-13"/>
    <x v="919"/>
    <x v="0"/>
    <x v="1"/>
    <n v="1"/>
    <n v="1"/>
  </r>
  <r>
    <n v="1"/>
    <n v="3"/>
    <x v="0"/>
    <s v="RENDIDA"/>
    <s v="2018-04-13"/>
    <x v="920"/>
    <x v="0"/>
    <x v="1"/>
    <n v="1"/>
    <n v="1"/>
  </r>
  <r>
    <n v="1"/>
    <n v="3"/>
    <x v="0"/>
    <s v="RENDIDA"/>
    <s v="2018-04-13"/>
    <x v="921"/>
    <x v="0"/>
    <x v="1"/>
    <n v="1"/>
    <n v="1"/>
  </r>
  <r>
    <n v="1"/>
    <n v="3"/>
    <x v="0"/>
    <s v="RENDIDA"/>
    <s v="2018-04-13"/>
    <x v="922"/>
    <x v="0"/>
    <x v="1"/>
    <n v="1"/>
    <n v="1"/>
  </r>
  <r>
    <n v="1"/>
    <n v="3"/>
    <x v="0"/>
    <s v="RENDIDA"/>
    <s v="2018-04-13"/>
    <x v="923"/>
    <x v="0"/>
    <x v="1"/>
    <n v="1"/>
    <n v="1"/>
  </r>
  <r>
    <n v="1"/>
    <n v="3"/>
    <x v="0"/>
    <s v="RENDIDA"/>
    <s v="2018-04-13"/>
    <x v="924"/>
    <x v="0"/>
    <x v="1"/>
    <n v="1"/>
    <n v="1"/>
  </r>
  <r>
    <n v="1"/>
    <n v="3"/>
    <x v="0"/>
    <s v="RENDIDA"/>
    <s v="2018-04-13"/>
    <x v="925"/>
    <x v="0"/>
    <x v="1"/>
    <n v="1"/>
    <n v="1"/>
  </r>
  <r>
    <n v="1"/>
    <n v="3"/>
    <x v="0"/>
    <s v="RENDIDA"/>
    <s v="2018-04-13"/>
    <x v="926"/>
    <x v="0"/>
    <x v="1"/>
    <n v="1"/>
    <n v="1"/>
  </r>
  <r>
    <n v="1"/>
    <n v="3"/>
    <x v="0"/>
    <s v="RENDIDA"/>
    <s v="2018-04-13"/>
    <x v="927"/>
    <x v="0"/>
    <x v="1"/>
    <n v="1"/>
    <n v="1"/>
  </r>
  <r>
    <n v="1"/>
    <n v="3"/>
    <x v="0"/>
    <s v="RENDIDA"/>
    <s v="2018-04-13"/>
    <x v="928"/>
    <x v="0"/>
    <x v="1"/>
    <n v="1"/>
    <n v="1"/>
  </r>
  <r>
    <n v="1"/>
    <n v="3"/>
    <x v="0"/>
    <s v="RENDIDA"/>
    <s v="2018-04-13"/>
    <x v="929"/>
    <x v="0"/>
    <x v="1"/>
    <n v="1"/>
    <n v="1"/>
  </r>
  <r>
    <n v="1"/>
    <n v="3"/>
    <x v="0"/>
    <s v="RENDIDA"/>
    <s v="2018-04-13"/>
    <x v="930"/>
    <x v="0"/>
    <x v="1"/>
    <n v="1"/>
    <n v="1"/>
  </r>
  <r>
    <n v="1"/>
    <n v="3"/>
    <x v="0"/>
    <s v="RENDIDA"/>
    <s v="2018-04-13"/>
    <x v="931"/>
    <x v="0"/>
    <x v="1"/>
    <n v="1"/>
    <n v="1"/>
  </r>
  <r>
    <n v="1"/>
    <n v="3"/>
    <x v="0"/>
    <s v="RENDIDA"/>
    <s v="2018-04-13"/>
    <x v="932"/>
    <x v="0"/>
    <x v="1"/>
    <n v="1"/>
    <n v="1"/>
  </r>
  <r>
    <n v="1"/>
    <n v="3"/>
    <x v="0"/>
    <s v="RENDIDA"/>
    <s v="2018-04-13"/>
    <x v="933"/>
    <x v="0"/>
    <x v="1"/>
    <n v="1"/>
    <n v="1"/>
  </r>
  <r>
    <n v="1"/>
    <n v="3"/>
    <x v="0"/>
    <s v="RENDIDA"/>
    <s v="2018-04-13"/>
    <x v="934"/>
    <x v="0"/>
    <x v="1"/>
    <n v="1"/>
    <n v="1"/>
  </r>
  <r>
    <n v="1"/>
    <n v="3"/>
    <x v="0"/>
    <s v="RENDIDA"/>
    <s v="2018-04-13"/>
    <x v="935"/>
    <x v="0"/>
    <x v="1"/>
    <n v="1"/>
    <n v="1"/>
  </r>
  <r>
    <n v="1"/>
    <n v="3"/>
    <x v="0"/>
    <s v="RENDIDA"/>
    <s v="2018-04-13"/>
    <x v="936"/>
    <x v="0"/>
    <x v="1"/>
    <n v="1"/>
    <n v="1"/>
  </r>
  <r>
    <n v="1"/>
    <n v="3"/>
    <x v="0"/>
    <s v="RENDIDA"/>
    <s v="2018-04-13"/>
    <x v="937"/>
    <x v="0"/>
    <x v="1"/>
    <n v="1"/>
    <n v="1"/>
  </r>
  <r>
    <n v="1"/>
    <n v="3"/>
    <x v="0"/>
    <s v="RENDIDA"/>
    <s v="2018-04-13"/>
    <x v="938"/>
    <x v="0"/>
    <x v="1"/>
    <n v="1"/>
    <n v="1"/>
  </r>
  <r>
    <n v="1"/>
    <n v="3"/>
    <x v="0"/>
    <s v="RENDIDA"/>
    <s v="2018-04-13"/>
    <x v="939"/>
    <x v="0"/>
    <x v="1"/>
    <n v="1"/>
    <n v="1"/>
  </r>
  <r>
    <n v="1"/>
    <n v="3"/>
    <x v="0"/>
    <s v="RENDIDA"/>
    <s v="2018-04-13"/>
    <x v="940"/>
    <x v="0"/>
    <x v="1"/>
    <n v="1"/>
    <n v="1"/>
  </r>
  <r>
    <n v="1"/>
    <n v="3"/>
    <x v="0"/>
    <s v="RENDIDA"/>
    <s v="2018-04-13"/>
    <x v="941"/>
    <x v="0"/>
    <x v="1"/>
    <n v="1"/>
    <n v="1"/>
  </r>
  <r>
    <n v="1"/>
    <n v="3"/>
    <x v="0"/>
    <s v="RENDIDA"/>
    <s v="2018-04-13"/>
    <x v="942"/>
    <x v="0"/>
    <x v="1"/>
    <n v="1"/>
    <n v="1"/>
  </r>
  <r>
    <n v="1"/>
    <n v="3"/>
    <x v="0"/>
    <s v="RENDIDA"/>
    <s v="2018-04-13"/>
    <x v="943"/>
    <x v="0"/>
    <x v="1"/>
    <n v="1"/>
    <n v="1"/>
  </r>
  <r>
    <n v="1"/>
    <n v="3"/>
    <x v="0"/>
    <s v="RENDIDA"/>
    <s v="2018-04-13"/>
    <x v="944"/>
    <x v="0"/>
    <x v="1"/>
    <n v="1"/>
    <n v="1"/>
  </r>
  <r>
    <n v="1"/>
    <n v="3"/>
    <x v="0"/>
    <s v="RENDIDA"/>
    <s v="2018-04-13"/>
    <x v="945"/>
    <x v="0"/>
    <x v="1"/>
    <n v="1"/>
    <n v="1"/>
  </r>
  <r>
    <n v="1"/>
    <n v="3"/>
    <x v="0"/>
    <s v="RENDIDA"/>
    <s v="2018-04-16"/>
    <x v="946"/>
    <x v="0"/>
    <x v="1"/>
    <n v="1"/>
    <n v="1"/>
  </r>
  <r>
    <n v="1"/>
    <n v="3"/>
    <x v="0"/>
    <s v="RENDIDA"/>
    <s v="2018-04-16"/>
    <x v="947"/>
    <x v="0"/>
    <x v="1"/>
    <n v="1"/>
    <n v="1"/>
  </r>
  <r>
    <n v="1"/>
    <n v="3"/>
    <x v="0"/>
    <s v="RENDIDA"/>
    <s v="2018-04-16"/>
    <x v="948"/>
    <x v="0"/>
    <x v="1"/>
    <n v="1"/>
    <n v="1"/>
  </r>
  <r>
    <n v="1"/>
    <n v="3"/>
    <x v="0"/>
    <s v="RENDIDA"/>
    <s v="2018-04-16"/>
    <x v="949"/>
    <x v="0"/>
    <x v="1"/>
    <n v="1"/>
    <n v="1"/>
  </r>
  <r>
    <n v="1"/>
    <n v="3"/>
    <x v="0"/>
    <s v="RENDIDA"/>
    <s v="2018-04-16"/>
    <x v="950"/>
    <x v="0"/>
    <x v="1"/>
    <n v="1"/>
    <n v="1"/>
  </r>
  <r>
    <n v="1"/>
    <n v="3"/>
    <x v="0"/>
    <s v="RENDIDA"/>
    <s v="2018-04-16"/>
    <x v="951"/>
    <x v="0"/>
    <x v="1"/>
    <n v="1"/>
    <n v="1"/>
  </r>
  <r>
    <n v="1"/>
    <n v="3"/>
    <x v="0"/>
    <s v="RENDIDA"/>
    <s v="2018-04-16"/>
    <x v="952"/>
    <x v="0"/>
    <x v="1"/>
    <n v="1"/>
    <n v="1"/>
  </r>
  <r>
    <n v="1"/>
    <n v="3"/>
    <x v="0"/>
    <s v="RENDIDA"/>
    <s v="2018-04-16"/>
    <x v="953"/>
    <x v="0"/>
    <x v="1"/>
    <n v="1"/>
    <n v="1"/>
  </r>
  <r>
    <n v="1"/>
    <n v="3"/>
    <x v="0"/>
    <s v="RENDIDA"/>
    <s v="2018-04-16"/>
    <x v="954"/>
    <x v="0"/>
    <x v="1"/>
    <n v="1"/>
    <n v="1"/>
  </r>
  <r>
    <n v="1"/>
    <n v="3"/>
    <x v="0"/>
    <s v="RENDIDA"/>
    <s v="2018-04-16"/>
    <x v="955"/>
    <x v="0"/>
    <x v="1"/>
    <n v="1"/>
    <n v="1"/>
  </r>
  <r>
    <n v="1"/>
    <n v="3"/>
    <x v="0"/>
    <s v="RENDIDA"/>
    <s v="2018-04-18"/>
    <x v="956"/>
    <x v="0"/>
    <x v="1"/>
    <n v="1"/>
    <n v="1"/>
  </r>
  <r>
    <n v="1"/>
    <n v="3"/>
    <x v="0"/>
    <s v="RENDIDA"/>
    <s v="2018-04-18"/>
    <x v="957"/>
    <x v="0"/>
    <x v="1"/>
    <n v="1"/>
    <n v="1"/>
  </r>
  <r>
    <n v="1"/>
    <n v="3"/>
    <x v="2"/>
    <s v="RENDIDA"/>
    <s v="2018-05-24"/>
    <x v="958"/>
    <x v="0"/>
    <x v="2"/>
    <n v="1"/>
    <n v="1"/>
  </r>
  <r>
    <n v="1"/>
    <n v="3"/>
    <x v="2"/>
    <s v="RENDIDA"/>
    <s v="2018-05-24"/>
    <x v="959"/>
    <x v="0"/>
    <x v="2"/>
    <n v="1"/>
    <n v="1"/>
  </r>
  <r>
    <n v="1"/>
    <n v="3"/>
    <x v="2"/>
    <s v="RENDIDA"/>
    <s v="2018-05-24"/>
    <x v="960"/>
    <x v="0"/>
    <x v="2"/>
    <n v="1"/>
    <n v="1"/>
  </r>
  <r>
    <n v="1"/>
    <n v="3"/>
    <x v="2"/>
    <s v="RENDIDA"/>
    <s v="2018-05-24"/>
    <x v="961"/>
    <x v="0"/>
    <x v="2"/>
    <n v="1"/>
    <n v="1"/>
  </r>
  <r>
    <n v="1"/>
    <n v="3"/>
    <x v="2"/>
    <s v="RENDIDA"/>
    <s v="2018-05-16"/>
    <x v="962"/>
    <x v="0"/>
    <x v="2"/>
    <n v="1"/>
    <n v="1"/>
  </r>
  <r>
    <n v="1"/>
    <n v="3"/>
    <x v="2"/>
    <s v="RENDIDA"/>
    <s v="2018-05-24"/>
    <x v="963"/>
    <x v="0"/>
    <x v="2"/>
    <n v="1"/>
    <n v="1"/>
  </r>
  <r>
    <n v="1"/>
    <n v="3"/>
    <x v="2"/>
    <s v="RENDIDA"/>
    <s v="2018-05-24"/>
    <x v="964"/>
    <x v="0"/>
    <x v="2"/>
    <n v="1"/>
    <n v="1"/>
  </r>
  <r>
    <n v="1"/>
    <n v="3"/>
    <x v="2"/>
    <s v="RENDIDA"/>
    <s v="2018-05-24"/>
    <x v="965"/>
    <x v="0"/>
    <x v="2"/>
    <n v="1"/>
    <n v="1"/>
  </r>
  <r>
    <n v="1"/>
    <n v="3"/>
    <x v="2"/>
    <s v="RENDIDA"/>
    <s v="2018-05-24"/>
    <x v="966"/>
    <x v="0"/>
    <x v="2"/>
    <n v="1"/>
    <n v="1"/>
  </r>
  <r>
    <n v="1"/>
    <n v="3"/>
    <x v="2"/>
    <s v="RENDIDA"/>
    <s v="2018-05-24"/>
    <x v="967"/>
    <x v="0"/>
    <x v="2"/>
    <n v="1"/>
    <n v="1"/>
  </r>
  <r>
    <n v="1"/>
    <n v="3"/>
    <x v="2"/>
    <s v="RENDIDA"/>
    <s v="2018-05-24"/>
    <x v="968"/>
    <x v="0"/>
    <x v="2"/>
    <n v="1"/>
    <n v="1"/>
  </r>
  <r>
    <n v="1"/>
    <n v="3"/>
    <x v="2"/>
    <s v="RENDIDA"/>
    <s v="2018-05-24"/>
    <x v="969"/>
    <x v="0"/>
    <x v="2"/>
    <n v="1"/>
    <n v="1"/>
  </r>
  <r>
    <n v="1"/>
    <n v="3"/>
    <x v="2"/>
    <s v="RENDIDA"/>
    <s v="2018-05-24"/>
    <x v="970"/>
    <x v="0"/>
    <x v="2"/>
    <n v="1"/>
    <n v="1"/>
  </r>
  <r>
    <n v="1"/>
    <n v="3"/>
    <x v="2"/>
    <s v="RENDIDA"/>
    <s v="2018-05-25"/>
    <x v="971"/>
    <x v="0"/>
    <x v="2"/>
    <n v="1"/>
    <n v="1"/>
  </r>
  <r>
    <n v="1"/>
    <n v="3"/>
    <x v="2"/>
    <s v="RENDIDA"/>
    <s v="2018-05-25"/>
    <x v="972"/>
    <x v="0"/>
    <x v="2"/>
    <n v="1"/>
    <n v="1"/>
  </r>
  <r>
    <n v="1"/>
    <n v="3"/>
    <x v="2"/>
    <s v="RENDIDA"/>
    <s v="2018-05-25"/>
    <x v="973"/>
    <x v="0"/>
    <x v="2"/>
    <n v="1"/>
    <n v="1"/>
  </r>
  <r>
    <n v="1"/>
    <n v="3"/>
    <x v="2"/>
    <s v="RENDIDA"/>
    <s v="2018-05-25"/>
    <x v="974"/>
    <x v="0"/>
    <x v="2"/>
    <n v="1"/>
    <n v="1"/>
  </r>
  <r>
    <n v="1"/>
    <n v="3"/>
    <x v="2"/>
    <s v="RENDIDA"/>
    <s v="2018-05-25"/>
    <x v="975"/>
    <x v="0"/>
    <x v="2"/>
    <n v="1"/>
    <n v="1"/>
  </r>
  <r>
    <n v="1"/>
    <n v="3"/>
    <x v="2"/>
    <s v="RENDIDA"/>
    <s v="2018-05-25"/>
    <x v="976"/>
    <x v="0"/>
    <x v="2"/>
    <n v="1"/>
    <n v="1"/>
  </r>
  <r>
    <n v="1"/>
    <n v="3"/>
    <x v="2"/>
    <s v="RENDIDA"/>
    <s v="2018-05-25"/>
    <x v="977"/>
    <x v="0"/>
    <x v="2"/>
    <n v="1"/>
    <n v="1"/>
  </r>
  <r>
    <n v="1"/>
    <n v="3"/>
    <x v="2"/>
    <s v="RENDIDA"/>
    <s v="2018-05-25"/>
    <x v="978"/>
    <x v="0"/>
    <x v="2"/>
    <n v="1"/>
    <n v="1"/>
  </r>
  <r>
    <n v="1"/>
    <n v="3"/>
    <x v="2"/>
    <s v="RENDIDA"/>
    <s v="2018-05-25"/>
    <x v="979"/>
    <x v="0"/>
    <x v="2"/>
    <n v="1"/>
    <n v="1"/>
  </r>
  <r>
    <n v="1"/>
    <n v="3"/>
    <x v="2"/>
    <s v="RENDIDA"/>
    <s v="2018-05-25"/>
    <x v="980"/>
    <x v="0"/>
    <x v="2"/>
    <n v="1"/>
    <n v="1"/>
  </r>
  <r>
    <n v="1"/>
    <n v="3"/>
    <x v="2"/>
    <s v="RENDIDA"/>
    <s v="2018-05-25"/>
    <x v="981"/>
    <x v="0"/>
    <x v="2"/>
    <n v="1"/>
    <n v="1"/>
  </r>
  <r>
    <n v="1"/>
    <n v="3"/>
    <x v="2"/>
    <s v="RENDIDA"/>
    <s v="2018-05-25"/>
    <x v="982"/>
    <x v="0"/>
    <x v="2"/>
    <n v="1"/>
    <n v="1"/>
  </r>
  <r>
    <n v="1"/>
    <n v="3"/>
    <x v="2"/>
    <s v="RENDIDA"/>
    <s v="2018-05-25"/>
    <x v="983"/>
    <x v="0"/>
    <x v="2"/>
    <n v="1"/>
    <n v="1"/>
  </r>
  <r>
    <n v="1"/>
    <n v="3"/>
    <x v="2"/>
    <s v="RENDIDA"/>
    <s v="2018-05-30"/>
    <x v="984"/>
    <x v="0"/>
    <x v="2"/>
    <n v="1"/>
    <n v="1"/>
  </r>
  <r>
    <n v="1"/>
    <n v="3"/>
    <x v="2"/>
    <s v="RENDIDA"/>
    <s v="2018-05-30"/>
    <x v="985"/>
    <x v="0"/>
    <x v="2"/>
    <n v="1"/>
    <n v="1"/>
  </r>
  <r>
    <n v="1"/>
    <n v="3"/>
    <x v="2"/>
    <s v="RENDIDA"/>
    <s v="2018-05-30"/>
    <x v="986"/>
    <x v="0"/>
    <x v="2"/>
    <n v="1"/>
    <n v="1"/>
  </r>
  <r>
    <n v="1"/>
    <n v="3"/>
    <x v="2"/>
    <s v="RENDIDA"/>
    <s v="2018-05-30"/>
    <x v="987"/>
    <x v="0"/>
    <x v="2"/>
    <n v="1"/>
    <n v="1"/>
  </r>
  <r>
    <n v="1"/>
    <n v="3"/>
    <x v="2"/>
    <s v="RENDIDA"/>
    <s v="2018-05-30"/>
    <x v="988"/>
    <x v="0"/>
    <x v="2"/>
    <n v="1"/>
    <n v="1"/>
  </r>
  <r>
    <n v="1"/>
    <n v="3"/>
    <x v="2"/>
    <s v="RENDIDA"/>
    <s v="2018-05-30"/>
    <x v="989"/>
    <x v="0"/>
    <x v="2"/>
    <n v="1"/>
    <n v="1"/>
  </r>
  <r>
    <n v="1"/>
    <n v="3"/>
    <x v="2"/>
    <s v="RENDIDA"/>
    <s v="2018-05-30"/>
    <x v="990"/>
    <x v="0"/>
    <x v="2"/>
    <n v="1"/>
    <n v="1"/>
  </r>
  <r>
    <n v="1"/>
    <n v="3"/>
    <x v="2"/>
    <s v="RENDIDA"/>
    <s v="2018-05-30"/>
    <x v="991"/>
    <x v="0"/>
    <x v="2"/>
    <n v="1"/>
    <n v="1"/>
  </r>
  <r>
    <n v="1"/>
    <n v="3"/>
    <x v="2"/>
    <s v="RENDIDA"/>
    <s v="2018-05-30"/>
    <x v="992"/>
    <x v="0"/>
    <x v="2"/>
    <n v="1"/>
    <n v="1"/>
  </r>
  <r>
    <n v="1"/>
    <n v="3"/>
    <x v="2"/>
    <s v="RENDIDA"/>
    <s v="2018-05-30"/>
    <x v="993"/>
    <x v="0"/>
    <x v="2"/>
    <n v="1"/>
    <n v="1"/>
  </r>
  <r>
    <n v="1"/>
    <n v="3"/>
    <x v="2"/>
    <s v="RENDIDA"/>
    <s v="2018-05-30"/>
    <x v="994"/>
    <x v="0"/>
    <x v="2"/>
    <n v="1"/>
    <n v="1"/>
  </r>
  <r>
    <n v="1"/>
    <n v="3"/>
    <x v="2"/>
    <s v="RENDIDA"/>
    <s v="2018-05-30"/>
    <x v="995"/>
    <x v="0"/>
    <x v="2"/>
    <n v="1"/>
    <n v="1"/>
  </r>
  <r>
    <n v="1"/>
    <n v="3"/>
    <x v="2"/>
    <s v="RENDIDA"/>
    <s v="2018-05-30"/>
    <x v="996"/>
    <x v="0"/>
    <x v="2"/>
    <n v="1"/>
    <n v="1"/>
  </r>
  <r>
    <n v="1"/>
    <n v="3"/>
    <x v="2"/>
    <s v="RENDIDA"/>
    <s v="2018-05-30"/>
    <x v="997"/>
    <x v="0"/>
    <x v="2"/>
    <n v="1"/>
    <n v="1"/>
  </r>
  <r>
    <n v="1"/>
    <n v="3"/>
    <x v="2"/>
    <s v="RENDIDA"/>
    <s v="2018-05-30"/>
    <x v="998"/>
    <x v="0"/>
    <x v="2"/>
    <n v="1"/>
    <n v="1"/>
  </r>
  <r>
    <n v="1"/>
    <n v="3"/>
    <x v="2"/>
    <s v="RENDIDA"/>
    <s v="2018-05-30"/>
    <x v="999"/>
    <x v="0"/>
    <x v="2"/>
    <n v="1"/>
    <n v="1"/>
  </r>
  <r>
    <n v="1"/>
    <n v="3"/>
    <x v="2"/>
    <s v="RENDIDA"/>
    <s v="2018-05-30"/>
    <x v="1000"/>
    <x v="0"/>
    <x v="2"/>
    <n v="1"/>
    <n v="1"/>
  </r>
  <r>
    <n v="1"/>
    <n v="3"/>
    <x v="2"/>
    <s v="RENDIDA"/>
    <s v="2018-05-30"/>
    <x v="1001"/>
    <x v="0"/>
    <x v="2"/>
    <n v="1"/>
    <n v="1"/>
  </r>
  <r>
    <n v="1"/>
    <n v="3"/>
    <x v="2"/>
    <s v="RENDIDA"/>
    <s v="2018-05-31"/>
    <x v="1002"/>
    <x v="0"/>
    <x v="2"/>
    <n v="1"/>
    <n v="1"/>
  </r>
  <r>
    <n v="1"/>
    <n v="3"/>
    <x v="2"/>
    <s v="RENDIDA"/>
    <s v="2018-05-31"/>
    <x v="1003"/>
    <x v="0"/>
    <x v="2"/>
    <n v="1"/>
    <n v="1"/>
  </r>
  <r>
    <n v="1"/>
    <n v="3"/>
    <x v="2"/>
    <s v="RENDIDA"/>
    <s v="2018-05-31"/>
    <x v="1004"/>
    <x v="0"/>
    <x v="2"/>
    <n v="1"/>
    <n v="1"/>
  </r>
  <r>
    <n v="1"/>
    <n v="3"/>
    <x v="0"/>
    <s v="RENDIDA"/>
    <s v="2018-04-24"/>
    <x v="1005"/>
    <x v="0"/>
    <x v="1"/>
    <n v="1"/>
    <n v="1"/>
  </r>
  <r>
    <n v="1"/>
    <n v="3"/>
    <x v="0"/>
    <s v="RENDIDA"/>
    <s v="2018-04-24"/>
    <x v="1006"/>
    <x v="0"/>
    <x v="1"/>
    <n v="1"/>
    <n v="1"/>
  </r>
  <r>
    <n v="1"/>
    <n v="3"/>
    <x v="0"/>
    <s v="RENDIDA"/>
    <s v="2018-04-24"/>
    <x v="1007"/>
    <x v="0"/>
    <x v="1"/>
    <n v="1"/>
    <n v="1"/>
  </r>
  <r>
    <n v="1"/>
    <n v="3"/>
    <x v="0"/>
    <s v="RENDIDA"/>
    <s v="2018-04-24"/>
    <x v="1008"/>
    <x v="0"/>
    <x v="1"/>
    <n v="1"/>
    <n v="1"/>
  </r>
  <r>
    <n v="1"/>
    <n v="3"/>
    <x v="0"/>
    <s v="RENDIDA"/>
    <s v="2018-04-24"/>
    <x v="1009"/>
    <x v="0"/>
    <x v="1"/>
    <n v="1"/>
    <n v="1"/>
  </r>
  <r>
    <n v="1"/>
    <n v="3"/>
    <x v="0"/>
    <s v="RENDIDA"/>
    <s v="2018-04-24"/>
    <x v="1010"/>
    <x v="0"/>
    <x v="1"/>
    <n v="1"/>
    <n v="1"/>
  </r>
  <r>
    <n v="1"/>
    <n v="3"/>
    <x v="0"/>
    <s v="RENDIDA"/>
    <s v="2018-04-24"/>
    <x v="1011"/>
    <x v="0"/>
    <x v="1"/>
    <n v="1"/>
    <n v="1"/>
  </r>
  <r>
    <n v="1"/>
    <n v="3"/>
    <x v="0"/>
    <s v="RENDIDA"/>
    <s v="2018-04-24"/>
    <x v="1012"/>
    <x v="0"/>
    <x v="1"/>
    <n v="1"/>
    <n v="1"/>
  </r>
  <r>
    <n v="1"/>
    <n v="3"/>
    <x v="0"/>
    <s v="RENDIDA"/>
    <s v="2018-04-24"/>
    <x v="1013"/>
    <x v="0"/>
    <x v="1"/>
    <n v="1"/>
    <n v="1"/>
  </r>
  <r>
    <n v="1"/>
    <n v="3"/>
    <x v="0"/>
    <s v="RENDIDA"/>
    <s v="2018-04-24"/>
    <x v="1014"/>
    <x v="0"/>
    <x v="1"/>
    <n v="1"/>
    <n v="1"/>
  </r>
  <r>
    <n v="1"/>
    <n v="3"/>
    <x v="0"/>
    <s v="RENDIDA"/>
    <s v="2018-04-24"/>
    <x v="1015"/>
    <x v="0"/>
    <x v="1"/>
    <n v="1"/>
    <n v="1"/>
  </r>
  <r>
    <n v="1"/>
    <n v="3"/>
    <x v="0"/>
    <s v="RENDIDA"/>
    <s v="2018-04-24"/>
    <x v="1016"/>
    <x v="0"/>
    <x v="1"/>
    <n v="1"/>
    <n v="1"/>
  </r>
  <r>
    <n v="1"/>
    <n v="3"/>
    <x v="0"/>
    <s v="RENDIDA"/>
    <s v="2018-04-24"/>
    <x v="1017"/>
    <x v="0"/>
    <x v="1"/>
    <n v="1"/>
    <n v="1"/>
  </r>
  <r>
    <n v="1"/>
    <n v="3"/>
    <x v="0"/>
    <s v="RENDIDA"/>
    <s v="2018-04-24"/>
    <x v="1018"/>
    <x v="0"/>
    <x v="1"/>
    <n v="1"/>
    <n v="1"/>
  </r>
  <r>
    <n v="1"/>
    <n v="3"/>
    <x v="0"/>
    <s v="RENDIDA"/>
    <s v="2018-04-24"/>
    <x v="1019"/>
    <x v="0"/>
    <x v="1"/>
    <n v="1"/>
    <n v="1"/>
  </r>
  <r>
    <n v="1"/>
    <n v="3"/>
    <x v="0"/>
    <s v="RENDIDA"/>
    <s v="2018-04-24"/>
    <x v="1020"/>
    <x v="0"/>
    <x v="1"/>
    <n v="1"/>
    <n v="1"/>
  </r>
  <r>
    <n v="1"/>
    <n v="3"/>
    <x v="0"/>
    <s v="RENDIDA"/>
    <s v="2018-04-24"/>
    <x v="1021"/>
    <x v="0"/>
    <x v="1"/>
    <n v="1"/>
    <n v="1"/>
  </r>
  <r>
    <n v="1"/>
    <n v="3"/>
    <x v="0"/>
    <s v="RENDIDA"/>
    <s v="2018-04-24"/>
    <x v="1022"/>
    <x v="0"/>
    <x v="1"/>
    <n v="1"/>
    <n v="1"/>
  </r>
  <r>
    <n v="1"/>
    <n v="3"/>
    <x v="0"/>
    <s v="RENDIDA"/>
    <s v="2018-04-25"/>
    <x v="1023"/>
    <x v="0"/>
    <x v="1"/>
    <n v="1"/>
    <n v="1"/>
  </r>
  <r>
    <n v="1"/>
    <n v="3"/>
    <x v="0"/>
    <s v="RENDIDA"/>
    <s v="2018-04-25"/>
    <x v="1024"/>
    <x v="0"/>
    <x v="1"/>
    <n v="1"/>
    <n v="1"/>
  </r>
  <r>
    <n v="1"/>
    <n v="3"/>
    <x v="0"/>
    <s v="RENDIDA"/>
    <s v="2018-04-25"/>
    <x v="1025"/>
    <x v="0"/>
    <x v="1"/>
    <n v="1"/>
    <n v="1"/>
  </r>
  <r>
    <n v="1"/>
    <n v="3"/>
    <x v="0"/>
    <s v="RENDIDA"/>
    <s v="2018-04-25"/>
    <x v="1026"/>
    <x v="0"/>
    <x v="1"/>
    <n v="1"/>
    <n v="1"/>
  </r>
  <r>
    <n v="1"/>
    <n v="3"/>
    <x v="0"/>
    <s v="RENDIDA"/>
    <s v="2018-04-25"/>
    <x v="1027"/>
    <x v="0"/>
    <x v="1"/>
    <n v="1"/>
    <n v="1"/>
  </r>
  <r>
    <n v="1"/>
    <n v="3"/>
    <x v="0"/>
    <s v="RENDIDA"/>
    <s v="2018-04-25"/>
    <x v="1028"/>
    <x v="0"/>
    <x v="1"/>
    <n v="1"/>
    <n v="1"/>
  </r>
  <r>
    <n v="1"/>
    <n v="3"/>
    <x v="0"/>
    <s v="RENDIDA"/>
    <s v="2018-04-25"/>
    <x v="1029"/>
    <x v="0"/>
    <x v="1"/>
    <n v="1"/>
    <n v="1"/>
  </r>
  <r>
    <n v="1"/>
    <n v="3"/>
    <x v="0"/>
    <s v="RENDIDA"/>
    <s v="2018-04-25"/>
    <x v="1030"/>
    <x v="0"/>
    <x v="1"/>
    <n v="1"/>
    <n v="1"/>
  </r>
  <r>
    <n v="1"/>
    <n v="3"/>
    <x v="0"/>
    <s v="RENDIDA"/>
    <s v="2018-04-25"/>
    <x v="1031"/>
    <x v="0"/>
    <x v="1"/>
    <n v="1"/>
    <n v="1"/>
  </r>
  <r>
    <n v="1"/>
    <n v="3"/>
    <x v="0"/>
    <s v="RENDIDA"/>
    <s v="2018-04-25"/>
    <x v="1032"/>
    <x v="0"/>
    <x v="1"/>
    <n v="1"/>
    <n v="1"/>
  </r>
  <r>
    <n v="1"/>
    <n v="3"/>
    <x v="0"/>
    <s v="RENDIDA"/>
    <s v="2018-04-25"/>
    <x v="1033"/>
    <x v="0"/>
    <x v="1"/>
    <n v="1"/>
    <n v="1"/>
  </r>
  <r>
    <n v="1"/>
    <n v="3"/>
    <x v="0"/>
    <s v="RENDIDA"/>
    <s v="2018-04-25"/>
    <x v="1034"/>
    <x v="0"/>
    <x v="1"/>
    <n v="1"/>
    <n v="1"/>
  </r>
  <r>
    <n v="1"/>
    <n v="3"/>
    <x v="0"/>
    <s v="RENDIDA"/>
    <s v="2018-04-25"/>
    <x v="1035"/>
    <x v="0"/>
    <x v="1"/>
    <n v="1"/>
    <n v="1"/>
  </r>
  <r>
    <n v="1"/>
    <n v="3"/>
    <x v="0"/>
    <s v="RENDIDA"/>
    <s v="2018-04-25"/>
    <x v="1036"/>
    <x v="0"/>
    <x v="1"/>
    <n v="1"/>
    <n v="1"/>
  </r>
  <r>
    <n v="1"/>
    <n v="3"/>
    <x v="0"/>
    <s v="RENDIDA"/>
    <s v="2018-04-25"/>
    <x v="1037"/>
    <x v="0"/>
    <x v="1"/>
    <n v="1"/>
    <n v="1"/>
  </r>
  <r>
    <n v="1"/>
    <n v="3"/>
    <x v="0"/>
    <s v="RENDIDA"/>
    <s v="2018-04-25"/>
    <x v="1038"/>
    <x v="0"/>
    <x v="1"/>
    <n v="1"/>
    <n v="1"/>
  </r>
  <r>
    <n v="1"/>
    <n v="3"/>
    <x v="0"/>
    <s v="RENDIDA"/>
    <s v="2018-04-25"/>
    <x v="1039"/>
    <x v="0"/>
    <x v="1"/>
    <n v="1"/>
    <n v="1"/>
  </r>
  <r>
    <n v="1"/>
    <n v="3"/>
    <x v="0"/>
    <s v="RENDIDA"/>
    <s v="2018-04-25"/>
    <x v="1040"/>
    <x v="0"/>
    <x v="1"/>
    <n v="1"/>
    <n v="1"/>
  </r>
  <r>
    <n v="1"/>
    <n v="3"/>
    <x v="0"/>
    <s v="RENDIDA"/>
    <s v="2018-04-25"/>
    <x v="1041"/>
    <x v="0"/>
    <x v="1"/>
    <n v="1"/>
    <n v="1"/>
  </r>
  <r>
    <n v="1"/>
    <n v="3"/>
    <x v="0"/>
    <s v="RENDIDA"/>
    <s v="2018-04-25"/>
    <x v="1042"/>
    <x v="0"/>
    <x v="1"/>
    <n v="1"/>
    <n v="1"/>
  </r>
  <r>
    <n v="1"/>
    <n v="3"/>
    <x v="0"/>
    <s v="RENDIDA"/>
    <s v="2018-04-25"/>
    <x v="1043"/>
    <x v="0"/>
    <x v="1"/>
    <n v="1"/>
    <n v="1"/>
  </r>
  <r>
    <n v="1"/>
    <n v="3"/>
    <x v="0"/>
    <s v="RENDIDA"/>
    <s v="2018-05-02"/>
    <x v="1044"/>
    <x v="0"/>
    <x v="2"/>
    <n v="1"/>
    <n v="1"/>
  </r>
  <r>
    <n v="1"/>
    <n v="3"/>
    <x v="0"/>
    <s v="RENDIDA"/>
    <s v="2018-05-02"/>
    <x v="1045"/>
    <x v="0"/>
    <x v="2"/>
    <n v="1"/>
    <n v="1"/>
  </r>
  <r>
    <n v="1"/>
    <n v="3"/>
    <x v="0"/>
    <s v="RENDIDA"/>
    <s v="2018-05-02"/>
    <x v="1046"/>
    <x v="0"/>
    <x v="2"/>
    <n v="1"/>
    <n v="1"/>
  </r>
  <r>
    <n v="1"/>
    <n v="3"/>
    <x v="0"/>
    <s v="RENDIDA"/>
    <s v="2018-05-02"/>
    <x v="1047"/>
    <x v="0"/>
    <x v="2"/>
    <n v="1"/>
    <n v="1"/>
  </r>
  <r>
    <n v="1"/>
    <n v="3"/>
    <x v="0"/>
    <s v="RENDIDA"/>
    <s v="2018-05-02"/>
    <x v="1048"/>
    <x v="0"/>
    <x v="2"/>
    <n v="1"/>
    <n v="1"/>
  </r>
  <r>
    <n v="1"/>
    <n v="3"/>
    <x v="0"/>
    <s v="RENDIDA"/>
    <s v="2018-05-02"/>
    <x v="1049"/>
    <x v="0"/>
    <x v="2"/>
    <n v="1"/>
    <n v="1"/>
  </r>
  <r>
    <n v="1"/>
    <n v="3"/>
    <x v="0"/>
    <s v="RENDIDA"/>
    <s v="2018-05-02"/>
    <x v="1050"/>
    <x v="0"/>
    <x v="2"/>
    <n v="1"/>
    <n v="1"/>
  </r>
  <r>
    <n v="1"/>
    <n v="3"/>
    <x v="0"/>
    <s v="RENDIDA"/>
    <s v="2018-05-02"/>
    <x v="1051"/>
    <x v="0"/>
    <x v="2"/>
    <n v="1"/>
    <n v="1"/>
  </r>
  <r>
    <n v="1"/>
    <n v="3"/>
    <x v="0"/>
    <s v="RENDIDA"/>
    <s v="2018-05-03"/>
    <x v="1052"/>
    <x v="0"/>
    <x v="2"/>
    <n v="1"/>
    <n v="1"/>
  </r>
  <r>
    <n v="1"/>
    <n v="3"/>
    <x v="0"/>
    <s v="RENDIDA"/>
    <s v="2018-05-03"/>
    <x v="1053"/>
    <x v="0"/>
    <x v="2"/>
    <n v="1"/>
    <n v="1"/>
  </r>
  <r>
    <n v="1"/>
    <n v="3"/>
    <x v="0"/>
    <s v="RENDIDA"/>
    <s v="2018-05-03"/>
    <x v="1054"/>
    <x v="0"/>
    <x v="2"/>
    <n v="1"/>
    <n v="1"/>
  </r>
  <r>
    <n v="1"/>
    <n v="3"/>
    <x v="0"/>
    <s v="RENDIDA"/>
    <s v="2018-05-03"/>
    <x v="1055"/>
    <x v="0"/>
    <x v="2"/>
    <n v="1"/>
    <n v="1"/>
  </r>
  <r>
    <n v="1"/>
    <n v="3"/>
    <x v="0"/>
    <s v="RENDIDA"/>
    <s v="2018-05-03"/>
    <x v="1056"/>
    <x v="0"/>
    <x v="2"/>
    <n v="1"/>
    <n v="1"/>
  </r>
  <r>
    <n v="1"/>
    <n v="3"/>
    <x v="0"/>
    <s v="RENDIDA"/>
    <s v="2018-05-03"/>
    <x v="1057"/>
    <x v="0"/>
    <x v="2"/>
    <n v="1"/>
    <n v="1"/>
  </r>
  <r>
    <n v="1"/>
    <n v="3"/>
    <x v="0"/>
    <s v="RENDIDA"/>
    <s v="2018-05-03"/>
    <x v="1058"/>
    <x v="0"/>
    <x v="2"/>
    <n v="1"/>
    <n v="1"/>
  </r>
  <r>
    <n v="1"/>
    <n v="3"/>
    <x v="0"/>
    <s v="RENDIDA"/>
    <s v="2018-05-03"/>
    <x v="1059"/>
    <x v="0"/>
    <x v="2"/>
    <n v="1"/>
    <n v="1"/>
  </r>
  <r>
    <n v="1"/>
    <n v="3"/>
    <x v="0"/>
    <s v="RENDIDA"/>
    <s v="2018-05-03"/>
    <x v="1060"/>
    <x v="0"/>
    <x v="2"/>
    <n v="1"/>
    <n v="1"/>
  </r>
  <r>
    <n v="1"/>
    <n v="3"/>
    <x v="0"/>
    <s v="RENDIDA"/>
    <s v="2018-05-03"/>
    <x v="1061"/>
    <x v="0"/>
    <x v="2"/>
    <n v="1"/>
    <n v="1"/>
  </r>
  <r>
    <n v="1"/>
    <n v="3"/>
    <x v="0"/>
    <s v="RENDIDA"/>
    <s v="2018-05-03"/>
    <x v="1062"/>
    <x v="0"/>
    <x v="2"/>
    <n v="1"/>
    <n v="1"/>
  </r>
  <r>
    <n v="1"/>
    <n v="3"/>
    <x v="0"/>
    <s v="RENDIDA"/>
    <s v="2018-05-03"/>
    <x v="1063"/>
    <x v="0"/>
    <x v="2"/>
    <n v="1"/>
    <n v="1"/>
  </r>
  <r>
    <n v="1"/>
    <n v="3"/>
    <x v="0"/>
    <s v="RENDIDA"/>
    <s v="2018-05-03"/>
    <x v="1064"/>
    <x v="0"/>
    <x v="2"/>
    <n v="1"/>
    <n v="1"/>
  </r>
  <r>
    <n v="1"/>
    <n v="3"/>
    <x v="0"/>
    <s v="RENDIDA"/>
    <s v="2018-05-03"/>
    <x v="1065"/>
    <x v="0"/>
    <x v="2"/>
    <n v="1"/>
    <n v="1"/>
  </r>
  <r>
    <n v="1"/>
    <n v="3"/>
    <x v="0"/>
    <s v="RENDIDA"/>
    <s v="2018-05-03"/>
    <x v="1066"/>
    <x v="0"/>
    <x v="2"/>
    <n v="1"/>
    <n v="1"/>
  </r>
  <r>
    <n v="1"/>
    <n v="3"/>
    <x v="0"/>
    <s v="RENDIDA"/>
    <s v="2018-05-03"/>
    <x v="1067"/>
    <x v="0"/>
    <x v="2"/>
    <n v="1"/>
    <n v="1"/>
  </r>
  <r>
    <n v="1"/>
    <n v="3"/>
    <x v="0"/>
    <s v="RENDIDA"/>
    <s v="2018-05-03"/>
    <x v="1068"/>
    <x v="0"/>
    <x v="2"/>
    <n v="1"/>
    <n v="1"/>
  </r>
  <r>
    <n v="1"/>
    <n v="3"/>
    <x v="0"/>
    <s v="RENDIDA"/>
    <s v="2018-05-03"/>
    <x v="1069"/>
    <x v="0"/>
    <x v="2"/>
    <n v="1"/>
    <n v="1"/>
  </r>
  <r>
    <n v="1"/>
    <n v="3"/>
    <x v="0"/>
    <s v="RENDIDA"/>
    <s v="2018-05-03"/>
    <x v="1070"/>
    <x v="0"/>
    <x v="2"/>
    <n v="1"/>
    <n v="1"/>
  </r>
  <r>
    <n v="1"/>
    <n v="3"/>
    <x v="0"/>
    <s v="RENDIDA"/>
    <s v="2018-05-03"/>
    <x v="1071"/>
    <x v="0"/>
    <x v="2"/>
    <n v="1"/>
    <n v="1"/>
  </r>
  <r>
    <n v="1"/>
    <n v="3"/>
    <x v="0"/>
    <s v="RENDIDA"/>
    <s v="2018-05-07"/>
    <x v="1072"/>
    <x v="0"/>
    <x v="2"/>
    <n v="1"/>
    <n v="1"/>
  </r>
  <r>
    <n v="1"/>
    <n v="3"/>
    <x v="0"/>
    <s v="RENDIDA"/>
    <s v="2018-05-07"/>
    <x v="1073"/>
    <x v="0"/>
    <x v="2"/>
    <n v="1"/>
    <n v="1"/>
  </r>
  <r>
    <n v="1"/>
    <n v="3"/>
    <x v="0"/>
    <s v="RENDIDA"/>
    <s v="2018-05-07"/>
    <x v="1074"/>
    <x v="0"/>
    <x v="2"/>
    <n v="1"/>
    <n v="1"/>
  </r>
  <r>
    <n v="1"/>
    <n v="3"/>
    <x v="0"/>
    <s v="RENDIDA"/>
    <s v="2018-05-07"/>
    <x v="1075"/>
    <x v="0"/>
    <x v="2"/>
    <n v="1"/>
    <n v="1"/>
  </r>
  <r>
    <n v="1"/>
    <n v="3"/>
    <x v="0"/>
    <s v="RENDIDA"/>
    <s v="2018-05-07"/>
    <x v="1076"/>
    <x v="0"/>
    <x v="2"/>
    <n v="1"/>
    <n v="1"/>
  </r>
  <r>
    <n v="1"/>
    <n v="3"/>
    <x v="0"/>
    <s v="RENDIDA"/>
    <s v="2018-05-07"/>
    <x v="1077"/>
    <x v="0"/>
    <x v="2"/>
    <n v="1"/>
    <n v="1"/>
  </r>
  <r>
    <n v="1"/>
    <n v="3"/>
    <x v="0"/>
    <s v="RENDIDA"/>
    <s v="2018-05-07"/>
    <x v="1078"/>
    <x v="0"/>
    <x v="2"/>
    <n v="1"/>
    <n v="1"/>
  </r>
  <r>
    <n v="1"/>
    <n v="3"/>
    <x v="0"/>
    <s v="RENDIDA"/>
    <s v="2018-05-07"/>
    <x v="1079"/>
    <x v="0"/>
    <x v="2"/>
    <n v="1"/>
    <n v="1"/>
  </r>
  <r>
    <n v="1"/>
    <n v="3"/>
    <x v="0"/>
    <s v="RENDIDA"/>
    <s v="2018-05-07"/>
    <x v="1080"/>
    <x v="0"/>
    <x v="2"/>
    <n v="1"/>
    <n v="1"/>
  </r>
  <r>
    <n v="1"/>
    <n v="3"/>
    <x v="0"/>
    <s v="RENDIDA"/>
    <s v="2018-05-07"/>
    <x v="1081"/>
    <x v="0"/>
    <x v="2"/>
    <n v="1"/>
    <n v="1"/>
  </r>
  <r>
    <n v="1"/>
    <n v="3"/>
    <x v="0"/>
    <s v="RENDIDA"/>
    <s v="2018-05-07"/>
    <x v="1082"/>
    <x v="0"/>
    <x v="2"/>
    <n v="1"/>
    <n v="1"/>
  </r>
  <r>
    <n v="1"/>
    <n v="3"/>
    <x v="0"/>
    <s v="RENDIDA"/>
    <s v="2018-05-14"/>
    <x v="1083"/>
    <x v="0"/>
    <x v="2"/>
    <n v="1"/>
    <n v="1"/>
  </r>
  <r>
    <n v="1"/>
    <n v="3"/>
    <x v="0"/>
    <s v="RENDIDA"/>
    <s v="2018-05-14"/>
    <x v="1084"/>
    <x v="0"/>
    <x v="2"/>
    <n v="1"/>
    <n v="1"/>
  </r>
  <r>
    <n v="1"/>
    <n v="3"/>
    <x v="0"/>
    <s v="RENDIDA"/>
    <s v="2018-05-14"/>
    <x v="1085"/>
    <x v="0"/>
    <x v="2"/>
    <n v="1"/>
    <n v="1"/>
  </r>
  <r>
    <n v="1"/>
    <n v="3"/>
    <x v="0"/>
    <s v="RENDIDA"/>
    <s v="2018-05-14"/>
    <x v="1086"/>
    <x v="0"/>
    <x v="2"/>
    <n v="1"/>
    <n v="1"/>
  </r>
  <r>
    <n v="1"/>
    <n v="3"/>
    <x v="0"/>
    <s v="RENDIDA"/>
    <s v="2018-05-14"/>
    <x v="1087"/>
    <x v="0"/>
    <x v="2"/>
    <n v="1"/>
    <n v="1"/>
  </r>
  <r>
    <n v="1"/>
    <n v="3"/>
    <x v="0"/>
    <s v="RENDIDA"/>
    <s v="2018-05-14"/>
    <x v="1088"/>
    <x v="0"/>
    <x v="2"/>
    <n v="1"/>
    <n v="1"/>
  </r>
  <r>
    <n v="1"/>
    <n v="3"/>
    <x v="0"/>
    <s v="RENDIDA"/>
    <s v="2018-05-14"/>
    <x v="1089"/>
    <x v="0"/>
    <x v="2"/>
    <n v="1"/>
    <n v="1"/>
  </r>
  <r>
    <n v="1"/>
    <n v="3"/>
    <x v="0"/>
    <s v="RENDIDA"/>
    <s v="2018-05-14"/>
    <x v="1090"/>
    <x v="0"/>
    <x v="2"/>
    <n v="1"/>
    <n v="1"/>
  </r>
  <r>
    <n v="1"/>
    <n v="3"/>
    <x v="0"/>
    <s v="RENDIDA"/>
    <s v="2018-05-14"/>
    <x v="1091"/>
    <x v="0"/>
    <x v="2"/>
    <n v="1"/>
    <n v="1"/>
  </r>
  <r>
    <n v="1"/>
    <n v="3"/>
    <x v="0"/>
    <s v="RENDIDA"/>
    <s v="2018-05-16"/>
    <x v="1092"/>
    <x v="0"/>
    <x v="2"/>
    <n v="1"/>
    <n v="1"/>
  </r>
  <r>
    <n v="1"/>
    <n v="3"/>
    <x v="0"/>
    <s v="RENDIDA"/>
    <s v="2018-05-16"/>
    <x v="1093"/>
    <x v="0"/>
    <x v="2"/>
    <n v="1"/>
    <n v="1"/>
  </r>
  <r>
    <n v="1"/>
    <n v="3"/>
    <x v="0"/>
    <s v="RENDIDA"/>
    <s v="2018-05-16"/>
    <x v="1094"/>
    <x v="0"/>
    <x v="2"/>
    <n v="1"/>
    <n v="1"/>
  </r>
  <r>
    <n v="1"/>
    <n v="3"/>
    <x v="0"/>
    <s v="RENDIDA"/>
    <s v="2018-05-16"/>
    <x v="1095"/>
    <x v="0"/>
    <x v="2"/>
    <n v="1"/>
    <n v="1"/>
  </r>
  <r>
    <n v="1"/>
    <n v="3"/>
    <x v="0"/>
    <s v="RENDIDA"/>
    <s v="2018-05-16"/>
    <x v="1096"/>
    <x v="0"/>
    <x v="2"/>
    <n v="1"/>
    <n v="1"/>
  </r>
  <r>
    <n v="1"/>
    <n v="3"/>
    <x v="0"/>
    <s v="RENDIDA"/>
    <s v="2018-05-16"/>
    <x v="1097"/>
    <x v="0"/>
    <x v="2"/>
    <n v="1"/>
    <n v="1"/>
  </r>
  <r>
    <n v="1"/>
    <n v="3"/>
    <x v="0"/>
    <s v="RENDIDA"/>
    <s v="2018-05-16"/>
    <x v="1098"/>
    <x v="0"/>
    <x v="2"/>
    <n v="1"/>
    <n v="1"/>
  </r>
  <r>
    <n v="1"/>
    <n v="3"/>
    <x v="0"/>
    <s v="RENDIDA"/>
    <s v="2018-05-16"/>
    <x v="1099"/>
    <x v="0"/>
    <x v="2"/>
    <n v="1"/>
    <n v="1"/>
  </r>
  <r>
    <n v="1"/>
    <n v="3"/>
    <x v="0"/>
    <s v="RENDIDA"/>
    <s v="2018-05-16"/>
    <x v="1100"/>
    <x v="0"/>
    <x v="2"/>
    <n v="1"/>
    <n v="1"/>
  </r>
  <r>
    <n v="1"/>
    <n v="3"/>
    <x v="0"/>
    <s v="SIN RENDIR"/>
    <s v="2018-05-16"/>
    <x v="1101"/>
    <x v="0"/>
    <x v="2"/>
    <n v="0"/>
    <n v="1"/>
  </r>
  <r>
    <n v="1"/>
    <n v="3"/>
    <x v="0"/>
    <s v="RENDIDA"/>
    <s v="2018-05-16"/>
    <x v="1102"/>
    <x v="0"/>
    <x v="2"/>
    <n v="1"/>
    <n v="1"/>
  </r>
  <r>
    <n v="1"/>
    <n v="3"/>
    <x v="0"/>
    <s v="RENDIDA"/>
    <s v="2018-05-16"/>
    <x v="1103"/>
    <x v="0"/>
    <x v="2"/>
    <n v="1"/>
    <n v="1"/>
  </r>
  <r>
    <n v="1"/>
    <n v="3"/>
    <x v="0"/>
    <s v="RENDIDA"/>
    <s v="2018-05-22"/>
    <x v="1104"/>
    <x v="0"/>
    <x v="2"/>
    <n v="1"/>
    <n v="1"/>
  </r>
  <r>
    <n v="1"/>
    <n v="3"/>
    <x v="0"/>
    <s v="RENDIDA"/>
    <s v="2018-05-22"/>
    <x v="1105"/>
    <x v="0"/>
    <x v="2"/>
    <n v="1"/>
    <n v="1"/>
  </r>
  <r>
    <n v="1"/>
    <n v="3"/>
    <x v="0"/>
    <s v="RENDIDA"/>
    <s v="2018-05-22"/>
    <x v="1106"/>
    <x v="0"/>
    <x v="2"/>
    <n v="1"/>
    <n v="1"/>
  </r>
  <r>
    <n v="1"/>
    <n v="3"/>
    <x v="0"/>
    <s v="RENDIDA"/>
    <s v="2018-05-22"/>
    <x v="1107"/>
    <x v="0"/>
    <x v="2"/>
    <n v="1"/>
    <n v="1"/>
  </r>
  <r>
    <n v="1"/>
    <n v="3"/>
    <x v="0"/>
    <s v="RENDIDA"/>
    <s v="2018-05-22"/>
    <x v="1108"/>
    <x v="0"/>
    <x v="2"/>
    <n v="1"/>
    <n v="1"/>
  </r>
  <r>
    <n v="1"/>
    <n v="3"/>
    <x v="0"/>
    <s v="RENDIDA"/>
    <s v="2018-05-22"/>
    <x v="1109"/>
    <x v="0"/>
    <x v="2"/>
    <n v="1"/>
    <n v="1"/>
  </r>
  <r>
    <n v="1"/>
    <n v="3"/>
    <x v="0"/>
    <s v="RENDIDA"/>
    <s v="2018-05-22"/>
    <x v="1110"/>
    <x v="0"/>
    <x v="2"/>
    <n v="1"/>
    <n v="1"/>
  </r>
  <r>
    <n v="1"/>
    <n v="3"/>
    <x v="0"/>
    <s v="RENDIDA"/>
    <s v="2018-05-22"/>
    <x v="1111"/>
    <x v="0"/>
    <x v="2"/>
    <n v="1"/>
    <n v="1"/>
  </r>
  <r>
    <n v="1"/>
    <n v="3"/>
    <x v="0"/>
    <s v="RENDIDA"/>
    <s v="2018-05-22"/>
    <x v="1112"/>
    <x v="0"/>
    <x v="2"/>
    <n v="1"/>
    <n v="1"/>
  </r>
  <r>
    <n v="1"/>
    <n v="3"/>
    <x v="0"/>
    <s v="RENDIDA"/>
    <s v="2018-05-22"/>
    <x v="1113"/>
    <x v="0"/>
    <x v="2"/>
    <n v="1"/>
    <n v="1"/>
  </r>
  <r>
    <n v="1"/>
    <n v="3"/>
    <x v="0"/>
    <s v="RENDIDA"/>
    <s v="2018-05-22"/>
    <x v="1114"/>
    <x v="0"/>
    <x v="2"/>
    <n v="1"/>
    <n v="1"/>
  </r>
  <r>
    <n v="1"/>
    <n v="3"/>
    <x v="0"/>
    <s v="RENDIDA"/>
    <s v="2018-05-22"/>
    <x v="1115"/>
    <x v="0"/>
    <x v="2"/>
    <n v="1"/>
    <n v="1"/>
  </r>
  <r>
    <n v="1"/>
    <n v="3"/>
    <x v="0"/>
    <s v="RENDIDA"/>
    <s v="2018-05-22"/>
    <x v="1116"/>
    <x v="0"/>
    <x v="2"/>
    <n v="1"/>
    <n v="1"/>
  </r>
  <r>
    <n v="1"/>
    <n v="3"/>
    <x v="0"/>
    <s v="RENDIDA"/>
    <s v="2018-05-22"/>
    <x v="1117"/>
    <x v="0"/>
    <x v="2"/>
    <n v="1"/>
    <n v="1"/>
  </r>
  <r>
    <n v="1"/>
    <n v="3"/>
    <x v="0"/>
    <s v="RENDIDA"/>
    <s v="2018-05-22"/>
    <x v="1118"/>
    <x v="0"/>
    <x v="2"/>
    <n v="1"/>
    <n v="1"/>
  </r>
  <r>
    <n v="1"/>
    <n v="3"/>
    <x v="0"/>
    <s v="RENDIDA"/>
    <s v="2018-05-22"/>
    <x v="1119"/>
    <x v="0"/>
    <x v="2"/>
    <n v="1"/>
    <n v="1"/>
  </r>
  <r>
    <n v="1"/>
    <n v="3"/>
    <x v="0"/>
    <s v="RENDIDA"/>
    <s v="2018-05-24"/>
    <x v="1119"/>
    <x v="0"/>
    <x v="2"/>
    <n v="1"/>
    <n v="1"/>
  </r>
  <r>
    <n v="1"/>
    <n v="3"/>
    <x v="0"/>
    <s v="RENDIDA"/>
    <s v="2018-05-23"/>
    <x v="1120"/>
    <x v="0"/>
    <x v="2"/>
    <n v="1"/>
    <n v="1"/>
  </r>
  <r>
    <n v="1"/>
    <n v="3"/>
    <x v="1"/>
    <s v="RENDIDA"/>
    <s v="2018-03-05"/>
    <x v="1121"/>
    <x v="0"/>
    <x v="0"/>
    <n v="1"/>
    <n v="1"/>
  </r>
  <r>
    <n v="1"/>
    <n v="3"/>
    <x v="1"/>
    <s v="RENDIDA"/>
    <s v="2018-03-05"/>
    <x v="1122"/>
    <x v="0"/>
    <x v="0"/>
    <n v="1"/>
    <n v="1"/>
  </r>
  <r>
    <n v="1"/>
    <n v="3"/>
    <x v="1"/>
    <s v="RENDIDA"/>
    <s v="2018-03-05"/>
    <x v="1123"/>
    <x v="0"/>
    <x v="0"/>
    <n v="1"/>
    <n v="1"/>
  </r>
  <r>
    <n v="1"/>
    <n v="3"/>
    <x v="1"/>
    <s v="RENDIDA"/>
    <s v="2018-03-05"/>
    <x v="1124"/>
    <x v="0"/>
    <x v="0"/>
    <n v="1"/>
    <n v="1"/>
  </r>
  <r>
    <n v="1"/>
    <n v="3"/>
    <x v="1"/>
    <s v="RENDIDA"/>
    <s v="2018-03-05"/>
    <x v="1125"/>
    <x v="0"/>
    <x v="0"/>
    <n v="1"/>
    <n v="1"/>
  </r>
  <r>
    <n v="1"/>
    <n v="3"/>
    <x v="1"/>
    <s v="RENDIDA"/>
    <s v="2018-03-05"/>
    <x v="1126"/>
    <x v="0"/>
    <x v="0"/>
    <n v="1"/>
    <n v="1"/>
  </r>
  <r>
    <n v="1"/>
    <n v="3"/>
    <x v="1"/>
    <s v="RENDIDA"/>
    <s v="2018-03-07"/>
    <x v="1127"/>
    <x v="0"/>
    <x v="0"/>
    <n v="1"/>
    <n v="1"/>
  </r>
  <r>
    <n v="1"/>
    <n v="3"/>
    <x v="1"/>
    <s v="RENDIDA"/>
    <s v="2018-03-07"/>
    <x v="1128"/>
    <x v="0"/>
    <x v="0"/>
    <n v="1"/>
    <n v="1"/>
  </r>
  <r>
    <n v="1"/>
    <n v="3"/>
    <x v="1"/>
    <s v="RENDIDA"/>
    <s v="2018-03-07"/>
    <x v="1129"/>
    <x v="0"/>
    <x v="0"/>
    <n v="1"/>
    <n v="1"/>
  </r>
  <r>
    <n v="1"/>
    <n v="3"/>
    <x v="1"/>
    <s v="RENDIDA"/>
    <s v="2018-03-08"/>
    <x v="1130"/>
    <x v="0"/>
    <x v="0"/>
    <n v="1"/>
    <n v="1"/>
  </r>
  <r>
    <n v="1"/>
    <n v="3"/>
    <x v="1"/>
    <s v="RENDIDA"/>
    <s v="2018-03-12"/>
    <x v="1131"/>
    <x v="0"/>
    <x v="0"/>
    <n v="1"/>
    <n v="1"/>
  </r>
  <r>
    <n v="1"/>
    <n v="3"/>
    <x v="1"/>
    <s v="RENDIDA"/>
    <s v="2018-03-12"/>
    <x v="1132"/>
    <x v="0"/>
    <x v="0"/>
    <n v="1"/>
    <n v="1"/>
  </r>
  <r>
    <n v="1"/>
    <n v="3"/>
    <x v="1"/>
    <s v="RENDIDA"/>
    <s v="2018-03-12"/>
    <x v="1133"/>
    <x v="0"/>
    <x v="0"/>
    <n v="1"/>
    <n v="1"/>
  </r>
  <r>
    <n v="1"/>
    <n v="3"/>
    <x v="1"/>
    <s v="RENDIDA"/>
    <s v="2018-03-14"/>
    <x v="1134"/>
    <x v="0"/>
    <x v="0"/>
    <n v="1"/>
    <n v="1"/>
  </r>
  <r>
    <n v="1"/>
    <n v="3"/>
    <x v="1"/>
    <s v="RENDIDA"/>
    <s v="2018-03-14"/>
    <x v="1135"/>
    <x v="0"/>
    <x v="0"/>
    <n v="1"/>
    <n v="1"/>
  </r>
  <r>
    <n v="1"/>
    <n v="3"/>
    <x v="1"/>
    <s v="RENDIDA"/>
    <s v="2018-03-14"/>
    <x v="1136"/>
    <x v="0"/>
    <x v="0"/>
    <n v="1"/>
    <n v="1"/>
  </r>
  <r>
    <n v="1"/>
    <n v="3"/>
    <x v="1"/>
    <s v="RENDIDA"/>
    <s v="2018-03-14"/>
    <x v="1137"/>
    <x v="0"/>
    <x v="0"/>
    <n v="1"/>
    <n v="1"/>
  </r>
  <r>
    <n v="1"/>
    <n v="3"/>
    <x v="1"/>
    <s v="RENDIDA"/>
    <s v="2018-03-14"/>
    <x v="1138"/>
    <x v="0"/>
    <x v="0"/>
    <n v="1"/>
    <n v="1"/>
  </r>
  <r>
    <n v="1"/>
    <n v="3"/>
    <x v="1"/>
    <s v="RENDIDA"/>
    <s v="2018-03-14"/>
    <x v="1139"/>
    <x v="0"/>
    <x v="0"/>
    <n v="1"/>
    <n v="1"/>
  </r>
  <r>
    <n v="1"/>
    <n v="3"/>
    <x v="1"/>
    <s v="RENDIDA"/>
    <s v="2018-03-14"/>
    <x v="1140"/>
    <x v="0"/>
    <x v="0"/>
    <n v="1"/>
    <n v="1"/>
  </r>
  <r>
    <n v="1"/>
    <n v="3"/>
    <x v="1"/>
    <s v="RENDIDA"/>
    <s v="2018-03-14"/>
    <x v="1141"/>
    <x v="0"/>
    <x v="0"/>
    <n v="1"/>
    <n v="1"/>
  </r>
  <r>
    <n v="1"/>
    <n v="3"/>
    <x v="1"/>
    <s v="RENDIDA"/>
    <s v="2018-03-19"/>
    <x v="1142"/>
    <x v="0"/>
    <x v="0"/>
    <n v="1"/>
    <n v="1"/>
  </r>
  <r>
    <n v="1"/>
    <n v="3"/>
    <x v="1"/>
    <s v="RENDIDA"/>
    <s v="2018-03-21"/>
    <x v="1143"/>
    <x v="0"/>
    <x v="0"/>
    <n v="1"/>
    <n v="1"/>
  </r>
  <r>
    <n v="1"/>
    <n v="3"/>
    <x v="1"/>
    <s v="RENDIDA"/>
    <s v="2018-03-21"/>
    <x v="1144"/>
    <x v="0"/>
    <x v="0"/>
    <n v="1"/>
    <n v="1"/>
  </r>
  <r>
    <n v="1"/>
    <n v="3"/>
    <x v="1"/>
    <s v="RENDIDA"/>
    <s v="2018-03-21"/>
    <x v="1145"/>
    <x v="0"/>
    <x v="0"/>
    <n v="1"/>
    <n v="1"/>
  </r>
  <r>
    <n v="1"/>
    <n v="3"/>
    <x v="1"/>
    <s v="RENDIDA"/>
    <s v="2018-03-22"/>
    <x v="1146"/>
    <x v="0"/>
    <x v="0"/>
    <n v="1"/>
    <n v="1"/>
  </r>
  <r>
    <n v="1"/>
    <n v="3"/>
    <x v="1"/>
    <s v="RENDIDA"/>
    <s v="2018-03-22"/>
    <x v="1147"/>
    <x v="0"/>
    <x v="0"/>
    <n v="1"/>
    <n v="1"/>
  </r>
  <r>
    <n v="1"/>
    <n v="3"/>
    <x v="1"/>
    <s v="RENDIDA"/>
    <s v="2018-03-22"/>
    <x v="1148"/>
    <x v="0"/>
    <x v="0"/>
    <n v="1"/>
    <n v="1"/>
  </r>
  <r>
    <n v="1"/>
    <n v="3"/>
    <x v="1"/>
    <s v="RENDIDA"/>
    <s v="2018-03-22"/>
    <x v="1149"/>
    <x v="0"/>
    <x v="0"/>
    <n v="1"/>
    <n v="1"/>
  </r>
  <r>
    <n v="1"/>
    <n v="3"/>
    <x v="1"/>
    <s v="RENDIDA"/>
    <s v="2018-03-22"/>
    <x v="1150"/>
    <x v="0"/>
    <x v="0"/>
    <n v="1"/>
    <n v="1"/>
  </r>
  <r>
    <n v="1"/>
    <n v="3"/>
    <x v="1"/>
    <s v="RENDIDA"/>
    <s v="2018-03-26"/>
    <x v="1151"/>
    <x v="0"/>
    <x v="0"/>
    <n v="1"/>
    <n v="1"/>
  </r>
  <r>
    <n v="1"/>
    <n v="3"/>
    <x v="1"/>
    <s v="RENDIDA"/>
    <s v="2018-03-27"/>
    <x v="1152"/>
    <x v="0"/>
    <x v="0"/>
    <n v="1"/>
    <n v="1"/>
  </r>
  <r>
    <n v="1"/>
    <n v="3"/>
    <x v="1"/>
    <s v="RENDIDA"/>
    <s v="2018-03-27"/>
    <x v="1153"/>
    <x v="0"/>
    <x v="0"/>
    <n v="1"/>
    <n v="1"/>
  </r>
  <r>
    <n v="1"/>
    <n v="3"/>
    <x v="1"/>
    <s v="RENDIDA"/>
    <s v="2018-03-27"/>
    <x v="1154"/>
    <x v="0"/>
    <x v="0"/>
    <n v="1"/>
    <n v="1"/>
  </r>
  <r>
    <n v="1"/>
    <n v="3"/>
    <x v="1"/>
    <s v="RENDIDA"/>
    <s v="2018-03-27"/>
    <x v="1155"/>
    <x v="0"/>
    <x v="0"/>
    <n v="1"/>
    <n v="1"/>
  </r>
  <r>
    <n v="1"/>
    <n v="3"/>
    <x v="1"/>
    <s v="RENDIDA"/>
    <s v="2018-03-27"/>
    <x v="1156"/>
    <x v="0"/>
    <x v="0"/>
    <n v="1"/>
    <n v="1"/>
  </r>
  <r>
    <n v="1"/>
    <n v="3"/>
    <x v="1"/>
    <s v="RENDIDA"/>
    <s v="2018-03-27"/>
    <x v="1157"/>
    <x v="0"/>
    <x v="0"/>
    <n v="1"/>
    <n v="1"/>
  </r>
  <r>
    <n v="1"/>
    <n v="3"/>
    <x v="1"/>
    <s v="RENDIDA"/>
    <s v="2018-03-27"/>
    <x v="1158"/>
    <x v="0"/>
    <x v="0"/>
    <n v="1"/>
    <n v="1"/>
  </r>
  <r>
    <n v="1"/>
    <n v="3"/>
    <x v="1"/>
    <s v="RENDIDA"/>
    <s v="2018-03-27"/>
    <x v="1159"/>
    <x v="0"/>
    <x v="0"/>
    <n v="1"/>
    <n v="1"/>
  </r>
  <r>
    <n v="1"/>
    <n v="3"/>
    <x v="1"/>
    <s v="RENDIDA"/>
    <s v="2018-03-28"/>
    <x v="1160"/>
    <x v="0"/>
    <x v="0"/>
    <n v="1"/>
    <n v="1"/>
  </r>
  <r>
    <n v="1"/>
    <n v="3"/>
    <x v="1"/>
    <s v="RENDIDA"/>
    <s v="2018-03-29"/>
    <x v="1161"/>
    <x v="0"/>
    <x v="0"/>
    <n v="1"/>
    <n v="1"/>
  </r>
  <r>
    <n v="1"/>
    <n v="3"/>
    <x v="1"/>
    <s v="RENDIDA"/>
    <s v="2018-03-29"/>
    <x v="1162"/>
    <x v="0"/>
    <x v="0"/>
    <n v="1"/>
    <n v="1"/>
  </r>
  <r>
    <n v="1"/>
    <n v="3"/>
    <x v="1"/>
    <s v="RENDIDA"/>
    <s v="2018-03-29"/>
    <x v="1163"/>
    <x v="0"/>
    <x v="0"/>
    <n v="1"/>
    <n v="1"/>
  </r>
  <r>
    <n v="1"/>
    <n v="3"/>
    <x v="1"/>
    <s v="RENDIDA"/>
    <s v="2018-03-29"/>
    <x v="1164"/>
    <x v="0"/>
    <x v="0"/>
    <n v="1"/>
    <n v="1"/>
  </r>
  <r>
    <n v="1"/>
    <n v="3"/>
    <x v="1"/>
    <s v="RENDIDA"/>
    <s v="2018-04-26"/>
    <x v="1165"/>
    <x v="0"/>
    <x v="1"/>
    <n v="1"/>
    <n v="1"/>
  </r>
  <r>
    <n v="1"/>
    <n v="3"/>
    <x v="1"/>
    <s v="RENDIDA"/>
    <s v="2018-04-30"/>
    <x v="1166"/>
    <x v="0"/>
    <x v="1"/>
    <n v="1"/>
    <n v="1"/>
  </r>
  <r>
    <n v="1"/>
    <n v="3"/>
    <x v="1"/>
    <s v="RENDIDA"/>
    <s v="2018-04-30"/>
    <x v="1167"/>
    <x v="0"/>
    <x v="1"/>
    <n v="1"/>
    <n v="1"/>
  </r>
  <r>
    <n v="1"/>
    <n v="3"/>
    <x v="1"/>
    <s v="RENDIDA"/>
    <s v="2018-04-30"/>
    <x v="1168"/>
    <x v="0"/>
    <x v="1"/>
    <n v="1"/>
    <n v="1"/>
  </r>
  <r>
    <n v="1"/>
    <n v="3"/>
    <x v="1"/>
    <s v="RENDIDA"/>
    <s v="2018-04-30"/>
    <x v="1169"/>
    <x v="0"/>
    <x v="1"/>
    <n v="1"/>
    <n v="1"/>
  </r>
  <r>
    <n v="1"/>
    <n v="3"/>
    <x v="1"/>
    <s v="RENDIDA"/>
    <s v="2018-04-30"/>
    <x v="1170"/>
    <x v="0"/>
    <x v="1"/>
    <n v="1"/>
    <n v="1"/>
  </r>
  <r>
    <n v="1"/>
    <n v="3"/>
    <x v="1"/>
    <s v="RENDIDA"/>
    <s v="2018-04-30"/>
    <x v="1171"/>
    <x v="0"/>
    <x v="1"/>
    <n v="1"/>
    <n v="1"/>
  </r>
  <r>
    <n v="1"/>
    <n v="3"/>
    <x v="1"/>
    <s v="RENDIDA"/>
    <s v="2018-04-30"/>
    <x v="1172"/>
    <x v="0"/>
    <x v="1"/>
    <n v="1"/>
    <n v="1"/>
  </r>
  <r>
    <n v="1"/>
    <n v="3"/>
    <x v="1"/>
    <s v="RENDIDA"/>
    <s v="2018-04-30"/>
    <x v="1173"/>
    <x v="0"/>
    <x v="1"/>
    <n v="1"/>
    <n v="1"/>
  </r>
  <r>
    <n v="1"/>
    <n v="3"/>
    <x v="1"/>
    <s v="RENDIDA"/>
    <s v="2018-05-04"/>
    <x v="1174"/>
    <x v="0"/>
    <x v="2"/>
    <n v="1"/>
    <n v="1"/>
  </r>
  <r>
    <n v="1"/>
    <n v="3"/>
    <x v="1"/>
    <s v="RENDIDA"/>
    <s v="2018-05-03"/>
    <x v="1175"/>
    <x v="0"/>
    <x v="2"/>
    <n v="1"/>
    <n v="1"/>
  </r>
  <r>
    <n v="1"/>
    <n v="3"/>
    <x v="1"/>
    <s v="RENDIDA"/>
    <s v="2018-05-04"/>
    <x v="1176"/>
    <x v="0"/>
    <x v="2"/>
    <n v="1"/>
    <n v="1"/>
  </r>
  <r>
    <n v="1"/>
    <n v="3"/>
    <x v="1"/>
    <s v="RENDIDA"/>
    <s v="2018-05-03"/>
    <x v="1177"/>
    <x v="0"/>
    <x v="2"/>
    <n v="1"/>
    <n v="1"/>
  </r>
  <r>
    <n v="1"/>
    <n v="3"/>
    <x v="1"/>
    <s v="RENDIDA"/>
    <s v="2018-05-03"/>
    <x v="1178"/>
    <x v="0"/>
    <x v="2"/>
    <n v="1"/>
    <n v="1"/>
  </r>
  <r>
    <n v="1"/>
    <n v="3"/>
    <x v="1"/>
    <s v="RENDIDA"/>
    <s v="2018-05-03"/>
    <x v="1179"/>
    <x v="0"/>
    <x v="2"/>
    <n v="1"/>
    <n v="1"/>
  </r>
  <r>
    <n v="1"/>
    <n v="3"/>
    <x v="1"/>
    <s v="RENDIDA"/>
    <s v="2018-05-03"/>
    <x v="1180"/>
    <x v="0"/>
    <x v="2"/>
    <n v="1"/>
    <n v="1"/>
  </r>
  <r>
    <n v="1"/>
    <n v="3"/>
    <x v="1"/>
    <s v="RENDIDA"/>
    <s v="2018-05-08"/>
    <x v="1181"/>
    <x v="0"/>
    <x v="2"/>
    <n v="1"/>
    <n v="1"/>
  </r>
  <r>
    <n v="1"/>
    <n v="3"/>
    <x v="1"/>
    <s v="RENDIDA"/>
    <s v="2018-05-09"/>
    <x v="1182"/>
    <x v="0"/>
    <x v="2"/>
    <n v="1"/>
    <n v="1"/>
  </r>
  <r>
    <n v="1"/>
    <n v="3"/>
    <x v="1"/>
    <s v="RENDIDA"/>
    <s v="2018-05-10"/>
    <x v="1183"/>
    <x v="0"/>
    <x v="2"/>
    <n v="1"/>
    <n v="1"/>
  </r>
  <r>
    <n v="1"/>
    <n v="3"/>
    <x v="1"/>
    <s v="RENDIDA"/>
    <s v="2018-05-10"/>
    <x v="1184"/>
    <x v="0"/>
    <x v="2"/>
    <n v="1"/>
    <n v="1"/>
  </r>
  <r>
    <n v="1"/>
    <n v="3"/>
    <x v="1"/>
    <s v="RENDIDA"/>
    <s v="2018-05-10"/>
    <x v="1185"/>
    <x v="0"/>
    <x v="2"/>
    <n v="1"/>
    <n v="1"/>
  </r>
  <r>
    <n v="1"/>
    <n v="3"/>
    <x v="1"/>
    <s v="RENDIDA"/>
    <s v="2018-05-10"/>
    <x v="1186"/>
    <x v="0"/>
    <x v="2"/>
    <n v="1"/>
    <n v="1"/>
  </r>
  <r>
    <n v="1"/>
    <n v="3"/>
    <x v="1"/>
    <s v="RENDIDA"/>
    <s v="2018-05-11"/>
    <x v="1187"/>
    <x v="0"/>
    <x v="2"/>
    <n v="1"/>
    <n v="1"/>
  </r>
  <r>
    <n v="1"/>
    <n v="3"/>
    <x v="1"/>
    <s v="RENDIDA"/>
    <s v="2018-05-11"/>
    <x v="1188"/>
    <x v="0"/>
    <x v="2"/>
    <n v="1"/>
    <n v="1"/>
  </r>
  <r>
    <n v="1"/>
    <n v="3"/>
    <x v="1"/>
    <s v="RENDIDA"/>
    <s v="2018-05-11"/>
    <x v="1189"/>
    <x v="0"/>
    <x v="2"/>
    <n v="1"/>
    <n v="1"/>
  </r>
  <r>
    <n v="1"/>
    <n v="3"/>
    <x v="1"/>
    <s v="RENDIDA"/>
    <s v="2018-05-14"/>
    <x v="1190"/>
    <x v="0"/>
    <x v="2"/>
    <n v="1"/>
    <n v="1"/>
  </r>
  <r>
    <n v="1"/>
    <n v="3"/>
    <x v="1"/>
    <s v="RENDIDA"/>
    <s v="2018-05-14"/>
    <x v="1191"/>
    <x v="0"/>
    <x v="2"/>
    <n v="1"/>
    <n v="1"/>
  </r>
  <r>
    <n v="1"/>
    <n v="3"/>
    <x v="1"/>
    <s v="RENDIDA"/>
    <s v="2018-05-15"/>
    <x v="1192"/>
    <x v="0"/>
    <x v="2"/>
    <n v="1"/>
    <n v="1"/>
  </r>
  <r>
    <n v="1"/>
    <n v="3"/>
    <x v="1"/>
    <s v="RENDIDA"/>
    <s v="2018-05-15"/>
    <x v="1193"/>
    <x v="0"/>
    <x v="2"/>
    <n v="1"/>
    <n v="1"/>
  </r>
  <r>
    <n v="1"/>
    <n v="3"/>
    <x v="1"/>
    <s v="RENDIDA"/>
    <s v="2018-05-16"/>
    <x v="1194"/>
    <x v="0"/>
    <x v="2"/>
    <n v="1"/>
    <n v="1"/>
  </r>
  <r>
    <n v="1"/>
    <n v="3"/>
    <x v="1"/>
    <s v="RENDIDA"/>
    <s v="2018-05-16"/>
    <x v="1195"/>
    <x v="0"/>
    <x v="2"/>
    <n v="1"/>
    <n v="1"/>
  </r>
  <r>
    <n v="1"/>
    <n v="3"/>
    <x v="1"/>
    <s v="RENDIDA"/>
    <s v="2018-05-18"/>
    <x v="1196"/>
    <x v="0"/>
    <x v="2"/>
    <n v="1"/>
    <n v="1"/>
  </r>
  <r>
    <n v="1"/>
    <n v="3"/>
    <x v="1"/>
    <s v="RENDIDA"/>
    <s v="2018-05-18"/>
    <x v="1197"/>
    <x v="0"/>
    <x v="2"/>
    <n v="1"/>
    <n v="1"/>
  </r>
  <r>
    <n v="1"/>
    <n v="3"/>
    <x v="1"/>
    <s v="RENDIDA"/>
    <s v="2018-05-22"/>
    <x v="1198"/>
    <x v="0"/>
    <x v="2"/>
    <n v="1"/>
    <n v="1"/>
  </r>
  <r>
    <n v="1"/>
    <n v="3"/>
    <x v="1"/>
    <s v="RENDIDA"/>
    <s v="2018-05-22"/>
    <x v="1199"/>
    <x v="0"/>
    <x v="2"/>
    <n v="1"/>
    <n v="1"/>
  </r>
  <r>
    <n v="1"/>
    <n v="3"/>
    <x v="1"/>
    <s v="RENDIDA"/>
    <s v="2018-05-24"/>
    <x v="1200"/>
    <x v="0"/>
    <x v="2"/>
    <n v="1"/>
    <n v="1"/>
  </r>
  <r>
    <n v="1"/>
    <n v="3"/>
    <x v="1"/>
    <s v="RENDIDA"/>
    <s v="2018-05-24"/>
    <x v="1201"/>
    <x v="0"/>
    <x v="2"/>
    <n v="1"/>
    <n v="1"/>
  </r>
  <r>
    <n v="1"/>
    <n v="3"/>
    <x v="1"/>
    <s v="RENDIDA"/>
    <s v="2018-05-24"/>
    <x v="1202"/>
    <x v="0"/>
    <x v="2"/>
    <n v="1"/>
    <n v="1"/>
  </r>
  <r>
    <n v="1"/>
    <n v="3"/>
    <x v="1"/>
    <s v="RENDIDA"/>
    <s v="2018-05-24"/>
    <x v="1203"/>
    <x v="0"/>
    <x v="2"/>
    <n v="1"/>
    <n v="1"/>
  </r>
  <r>
    <n v="1"/>
    <n v="3"/>
    <x v="1"/>
    <s v="RENDIDA"/>
    <s v="2018-05-24"/>
    <x v="1204"/>
    <x v="0"/>
    <x v="2"/>
    <n v="1"/>
    <n v="1"/>
  </r>
  <r>
    <n v="1"/>
    <n v="3"/>
    <x v="1"/>
    <s v="RENDIDA"/>
    <s v="2018-05-25"/>
    <x v="1205"/>
    <x v="0"/>
    <x v="2"/>
    <n v="1"/>
    <n v="1"/>
  </r>
  <r>
    <n v="1"/>
    <n v="3"/>
    <x v="1"/>
    <s v="RENDIDA"/>
    <s v="2018-05-29"/>
    <x v="1206"/>
    <x v="0"/>
    <x v="2"/>
    <n v="1"/>
    <n v="1"/>
  </r>
  <r>
    <n v="1"/>
    <n v="3"/>
    <x v="1"/>
    <s v="RENDIDA"/>
    <s v="2018-05-30"/>
    <x v="1207"/>
    <x v="0"/>
    <x v="2"/>
    <n v="1"/>
    <n v="1"/>
  </r>
  <r>
    <n v="1"/>
    <n v="3"/>
    <x v="1"/>
    <s v="RENDIDA"/>
    <s v="2018-05-30"/>
    <x v="1208"/>
    <x v="0"/>
    <x v="2"/>
    <n v="1"/>
    <n v="1"/>
  </r>
  <r>
    <n v="1"/>
    <n v="3"/>
    <x v="0"/>
    <s v="RENDIDA"/>
    <s v="2018-03-13"/>
    <x v="1209"/>
    <x v="0"/>
    <x v="0"/>
    <n v="1"/>
    <n v="1"/>
  </r>
  <r>
    <n v="1"/>
    <n v="3"/>
    <x v="0"/>
    <s v="RENDIDA"/>
    <s v="2018-03-13"/>
    <x v="1210"/>
    <x v="0"/>
    <x v="0"/>
    <n v="1"/>
    <n v="1"/>
  </r>
  <r>
    <n v="1"/>
    <n v="3"/>
    <x v="0"/>
    <s v="RENDIDA"/>
    <s v="2018-03-13"/>
    <x v="1211"/>
    <x v="0"/>
    <x v="0"/>
    <n v="1"/>
    <n v="1"/>
  </r>
  <r>
    <n v="1"/>
    <n v="3"/>
    <x v="0"/>
    <s v="RENDIDA"/>
    <s v="2018-03-13"/>
    <x v="1212"/>
    <x v="0"/>
    <x v="0"/>
    <n v="1"/>
    <n v="1"/>
  </r>
  <r>
    <n v="1"/>
    <n v="3"/>
    <x v="0"/>
    <s v="RENDIDA"/>
    <s v="2018-03-13"/>
    <x v="1213"/>
    <x v="0"/>
    <x v="0"/>
    <n v="1"/>
    <n v="1"/>
  </r>
  <r>
    <n v="1"/>
    <n v="3"/>
    <x v="0"/>
    <s v="RENDIDA"/>
    <s v="2018-03-13"/>
    <x v="1214"/>
    <x v="0"/>
    <x v="0"/>
    <n v="1"/>
    <n v="1"/>
  </r>
  <r>
    <n v="1"/>
    <n v="3"/>
    <x v="0"/>
    <s v="RENDIDA"/>
    <s v="2018-03-13"/>
    <x v="1215"/>
    <x v="0"/>
    <x v="0"/>
    <n v="1"/>
    <n v="1"/>
  </r>
  <r>
    <n v="1"/>
    <n v="3"/>
    <x v="0"/>
    <s v="RENDIDA"/>
    <s v="2018-03-13"/>
    <x v="1216"/>
    <x v="0"/>
    <x v="0"/>
    <n v="1"/>
    <n v="1"/>
  </r>
  <r>
    <n v="1"/>
    <n v="3"/>
    <x v="0"/>
    <s v="RENDIDA"/>
    <s v="2018-03-13"/>
    <x v="1217"/>
    <x v="0"/>
    <x v="0"/>
    <n v="1"/>
    <n v="1"/>
  </r>
  <r>
    <n v="1"/>
    <n v="3"/>
    <x v="0"/>
    <s v="RENDIDA"/>
    <s v="2018-03-13"/>
    <x v="1218"/>
    <x v="0"/>
    <x v="0"/>
    <n v="1"/>
    <n v="1"/>
  </r>
  <r>
    <n v="1"/>
    <n v="3"/>
    <x v="0"/>
    <s v="RENDIDA"/>
    <s v="2018-03-13"/>
    <x v="1219"/>
    <x v="0"/>
    <x v="0"/>
    <n v="1"/>
    <n v="1"/>
  </r>
  <r>
    <n v="1"/>
    <n v="3"/>
    <x v="0"/>
    <s v="RENDIDA"/>
    <s v="2018-03-13"/>
    <x v="1220"/>
    <x v="0"/>
    <x v="0"/>
    <n v="1"/>
    <n v="1"/>
  </r>
  <r>
    <n v="1"/>
    <n v="3"/>
    <x v="0"/>
    <s v="RENDIDA"/>
    <s v="2018-03-13"/>
    <x v="1221"/>
    <x v="0"/>
    <x v="0"/>
    <n v="1"/>
    <n v="1"/>
  </r>
  <r>
    <n v="1"/>
    <n v="3"/>
    <x v="0"/>
    <s v="RENDIDA"/>
    <s v="2018-03-15"/>
    <x v="1222"/>
    <x v="0"/>
    <x v="0"/>
    <n v="1"/>
    <n v="1"/>
  </r>
  <r>
    <n v="1"/>
    <n v="3"/>
    <x v="0"/>
    <s v="RENDIDA"/>
    <s v="2018-03-15"/>
    <x v="1223"/>
    <x v="0"/>
    <x v="0"/>
    <n v="1"/>
    <n v="1"/>
  </r>
  <r>
    <n v="1"/>
    <n v="3"/>
    <x v="0"/>
    <s v="RENDIDA"/>
    <s v="2018-03-15"/>
    <x v="1224"/>
    <x v="0"/>
    <x v="0"/>
    <n v="1"/>
    <n v="1"/>
  </r>
  <r>
    <n v="1"/>
    <n v="3"/>
    <x v="0"/>
    <s v="RENDIDA"/>
    <s v="2018-03-15"/>
    <x v="1225"/>
    <x v="0"/>
    <x v="0"/>
    <n v="1"/>
    <n v="1"/>
  </r>
  <r>
    <n v="1"/>
    <n v="3"/>
    <x v="0"/>
    <s v="RENDIDA"/>
    <s v="2018-03-15"/>
    <x v="1226"/>
    <x v="0"/>
    <x v="0"/>
    <n v="1"/>
    <n v="1"/>
  </r>
  <r>
    <n v="1"/>
    <n v="3"/>
    <x v="0"/>
    <s v="RENDIDA"/>
    <s v="2018-03-15"/>
    <x v="1227"/>
    <x v="0"/>
    <x v="0"/>
    <n v="1"/>
    <n v="1"/>
  </r>
  <r>
    <n v="1"/>
    <n v="3"/>
    <x v="0"/>
    <s v="RENDIDA"/>
    <s v="2018-03-15"/>
    <x v="1228"/>
    <x v="0"/>
    <x v="0"/>
    <n v="1"/>
    <n v="1"/>
  </r>
  <r>
    <n v="1"/>
    <n v="3"/>
    <x v="0"/>
    <s v="RENDIDA"/>
    <s v="2018-03-15"/>
    <x v="1229"/>
    <x v="0"/>
    <x v="0"/>
    <n v="1"/>
    <n v="1"/>
  </r>
  <r>
    <n v="1"/>
    <n v="3"/>
    <x v="0"/>
    <s v="RENDIDA"/>
    <s v="2018-03-15"/>
    <x v="1230"/>
    <x v="0"/>
    <x v="0"/>
    <n v="1"/>
    <n v="1"/>
  </r>
  <r>
    <n v="1"/>
    <n v="3"/>
    <x v="0"/>
    <s v="RENDIDA"/>
    <s v="2018-03-15"/>
    <x v="1231"/>
    <x v="0"/>
    <x v="0"/>
    <n v="1"/>
    <n v="1"/>
  </r>
  <r>
    <n v="1"/>
    <n v="3"/>
    <x v="0"/>
    <s v="RENDIDA"/>
    <s v="2018-03-15"/>
    <x v="1232"/>
    <x v="0"/>
    <x v="0"/>
    <n v="1"/>
    <n v="1"/>
  </r>
  <r>
    <n v="1"/>
    <n v="3"/>
    <x v="0"/>
    <s v="RENDIDA"/>
    <s v="2018-03-15"/>
    <x v="1233"/>
    <x v="0"/>
    <x v="0"/>
    <n v="1"/>
    <n v="1"/>
  </r>
  <r>
    <n v="1"/>
    <n v="3"/>
    <x v="0"/>
    <s v="RENDIDA"/>
    <s v="2018-03-15"/>
    <x v="1234"/>
    <x v="0"/>
    <x v="0"/>
    <n v="1"/>
    <n v="1"/>
  </r>
  <r>
    <n v="1"/>
    <n v="3"/>
    <x v="0"/>
    <s v="RENDIDA"/>
    <s v="2018-03-15"/>
    <x v="1235"/>
    <x v="0"/>
    <x v="0"/>
    <n v="1"/>
    <n v="1"/>
  </r>
  <r>
    <n v="1"/>
    <n v="3"/>
    <x v="0"/>
    <s v="RENDIDA"/>
    <s v="2018-03-15"/>
    <x v="1236"/>
    <x v="0"/>
    <x v="0"/>
    <n v="1"/>
    <n v="1"/>
  </r>
  <r>
    <n v="1"/>
    <n v="3"/>
    <x v="0"/>
    <s v="RENDIDA"/>
    <s v="2018-03-15"/>
    <x v="1237"/>
    <x v="0"/>
    <x v="0"/>
    <n v="1"/>
    <n v="1"/>
  </r>
  <r>
    <n v="1"/>
    <n v="3"/>
    <x v="0"/>
    <s v="RENDIDA"/>
    <s v="2018-03-15"/>
    <x v="1238"/>
    <x v="0"/>
    <x v="0"/>
    <n v="1"/>
    <n v="1"/>
  </r>
  <r>
    <n v="1"/>
    <n v="3"/>
    <x v="0"/>
    <s v="SIN RENDIR"/>
    <s v="2018-03-15"/>
    <x v="1239"/>
    <x v="0"/>
    <x v="0"/>
    <n v="0"/>
    <n v="1"/>
  </r>
  <r>
    <n v="1"/>
    <n v="3"/>
    <x v="0"/>
    <s v="RENDIDA"/>
    <s v="2018-03-15"/>
    <x v="1240"/>
    <x v="0"/>
    <x v="0"/>
    <n v="1"/>
    <n v="1"/>
  </r>
  <r>
    <n v="1"/>
    <n v="3"/>
    <x v="0"/>
    <s v="RENDIDA"/>
    <s v="2018-03-15"/>
    <x v="1241"/>
    <x v="0"/>
    <x v="0"/>
    <n v="1"/>
    <n v="1"/>
  </r>
  <r>
    <n v="1"/>
    <n v="3"/>
    <x v="0"/>
    <s v="RENDIDA"/>
    <s v="2018-03-16"/>
    <x v="1242"/>
    <x v="0"/>
    <x v="0"/>
    <n v="1"/>
    <n v="1"/>
  </r>
  <r>
    <n v="1"/>
    <n v="3"/>
    <x v="0"/>
    <s v="RENDIDA"/>
    <s v="2018-03-16"/>
    <x v="1243"/>
    <x v="0"/>
    <x v="0"/>
    <n v="1"/>
    <n v="1"/>
  </r>
  <r>
    <n v="1"/>
    <n v="3"/>
    <x v="0"/>
    <s v="RENDIDA"/>
    <s v="2018-03-16"/>
    <x v="1244"/>
    <x v="0"/>
    <x v="0"/>
    <n v="1"/>
    <n v="1"/>
  </r>
  <r>
    <n v="1"/>
    <n v="3"/>
    <x v="0"/>
    <s v="RENDIDA"/>
    <s v="2018-03-16"/>
    <x v="1245"/>
    <x v="0"/>
    <x v="0"/>
    <n v="1"/>
    <n v="1"/>
  </r>
  <r>
    <n v="1"/>
    <n v="3"/>
    <x v="0"/>
    <s v="RENDIDA"/>
    <s v="2018-03-16"/>
    <x v="1246"/>
    <x v="0"/>
    <x v="0"/>
    <n v="1"/>
    <n v="1"/>
  </r>
  <r>
    <n v="1"/>
    <n v="3"/>
    <x v="0"/>
    <s v="RENDIDA"/>
    <s v="2018-03-16"/>
    <x v="1247"/>
    <x v="0"/>
    <x v="0"/>
    <n v="1"/>
    <n v="1"/>
  </r>
  <r>
    <n v="1"/>
    <n v="3"/>
    <x v="0"/>
    <s v="RENDIDA"/>
    <s v="2018-03-16"/>
    <x v="1248"/>
    <x v="0"/>
    <x v="0"/>
    <n v="1"/>
    <n v="1"/>
  </r>
  <r>
    <n v="1"/>
    <n v="3"/>
    <x v="0"/>
    <s v="RENDIDA"/>
    <s v="2018-03-16"/>
    <x v="1249"/>
    <x v="0"/>
    <x v="0"/>
    <n v="1"/>
    <n v="1"/>
  </r>
  <r>
    <n v="1"/>
    <n v="3"/>
    <x v="0"/>
    <s v="RENDIDA"/>
    <s v="2018-03-16"/>
    <x v="1250"/>
    <x v="0"/>
    <x v="0"/>
    <n v="1"/>
    <n v="1"/>
  </r>
  <r>
    <n v="1"/>
    <n v="3"/>
    <x v="0"/>
    <s v="RENDIDA"/>
    <s v="2018-03-16"/>
    <x v="1251"/>
    <x v="0"/>
    <x v="0"/>
    <n v="1"/>
    <n v="1"/>
  </r>
  <r>
    <n v="1"/>
    <n v="3"/>
    <x v="0"/>
    <s v="RENDIDA"/>
    <s v="2018-03-16"/>
    <x v="1252"/>
    <x v="0"/>
    <x v="0"/>
    <n v="1"/>
    <n v="1"/>
  </r>
  <r>
    <n v="1"/>
    <n v="3"/>
    <x v="0"/>
    <s v="RENDIDA"/>
    <s v="2018-03-16"/>
    <x v="1253"/>
    <x v="0"/>
    <x v="0"/>
    <n v="1"/>
    <n v="1"/>
  </r>
  <r>
    <n v="1"/>
    <n v="3"/>
    <x v="0"/>
    <s v="RENDIDA"/>
    <s v="2018-03-16"/>
    <x v="1254"/>
    <x v="0"/>
    <x v="0"/>
    <n v="1"/>
    <n v="1"/>
  </r>
  <r>
    <n v="1"/>
    <n v="3"/>
    <x v="0"/>
    <s v="RENDIDA"/>
    <s v="2018-03-16"/>
    <x v="1255"/>
    <x v="0"/>
    <x v="0"/>
    <n v="1"/>
    <n v="1"/>
  </r>
  <r>
    <n v="1"/>
    <n v="3"/>
    <x v="0"/>
    <s v="RENDIDA"/>
    <s v="2018-03-16"/>
    <x v="1256"/>
    <x v="0"/>
    <x v="0"/>
    <n v="1"/>
    <n v="1"/>
  </r>
  <r>
    <n v="1"/>
    <n v="3"/>
    <x v="0"/>
    <s v="RENDIDA"/>
    <s v="2018-03-16"/>
    <x v="1257"/>
    <x v="0"/>
    <x v="0"/>
    <n v="1"/>
    <n v="1"/>
  </r>
  <r>
    <n v="1"/>
    <n v="3"/>
    <x v="0"/>
    <s v="RENDIDA"/>
    <s v="2018-03-16"/>
    <x v="1258"/>
    <x v="0"/>
    <x v="0"/>
    <n v="1"/>
    <n v="1"/>
  </r>
  <r>
    <n v="1"/>
    <n v="3"/>
    <x v="0"/>
    <s v="RENDIDA"/>
    <s v="2018-03-16"/>
    <x v="1259"/>
    <x v="0"/>
    <x v="0"/>
    <n v="1"/>
    <n v="1"/>
  </r>
  <r>
    <n v="1"/>
    <n v="3"/>
    <x v="0"/>
    <s v="RENDIDA"/>
    <s v="2018-03-16"/>
    <x v="1260"/>
    <x v="0"/>
    <x v="0"/>
    <n v="1"/>
    <n v="1"/>
  </r>
  <r>
    <n v="1"/>
    <n v="3"/>
    <x v="0"/>
    <s v="RENDIDA"/>
    <s v="2018-03-16"/>
    <x v="1261"/>
    <x v="0"/>
    <x v="0"/>
    <n v="1"/>
    <n v="1"/>
  </r>
  <r>
    <n v="1"/>
    <n v="3"/>
    <x v="0"/>
    <s v="RENDIDA"/>
    <s v="2018-03-16"/>
    <x v="1262"/>
    <x v="0"/>
    <x v="0"/>
    <n v="1"/>
    <n v="1"/>
  </r>
  <r>
    <n v="1"/>
    <n v="3"/>
    <x v="0"/>
    <s v="RENDIDA"/>
    <s v="2018-03-20"/>
    <x v="1263"/>
    <x v="0"/>
    <x v="0"/>
    <n v="1"/>
    <n v="1"/>
  </r>
  <r>
    <n v="1"/>
    <n v="3"/>
    <x v="0"/>
    <s v="RENDIDA"/>
    <s v="2018-03-20"/>
    <x v="1264"/>
    <x v="0"/>
    <x v="0"/>
    <n v="1"/>
    <n v="1"/>
  </r>
  <r>
    <n v="1"/>
    <n v="3"/>
    <x v="0"/>
    <s v="RENDIDA"/>
    <s v="2018-03-20"/>
    <x v="1265"/>
    <x v="0"/>
    <x v="0"/>
    <n v="1"/>
    <n v="1"/>
  </r>
  <r>
    <n v="1"/>
    <n v="3"/>
    <x v="0"/>
    <s v="RENDIDA"/>
    <s v="2018-03-20"/>
    <x v="1266"/>
    <x v="0"/>
    <x v="0"/>
    <n v="1"/>
    <n v="1"/>
  </r>
  <r>
    <n v="1"/>
    <n v="3"/>
    <x v="0"/>
    <s v="RENDIDA"/>
    <s v="2018-03-20"/>
    <x v="1267"/>
    <x v="0"/>
    <x v="0"/>
    <n v="1"/>
    <n v="1"/>
  </r>
  <r>
    <n v="1"/>
    <n v="3"/>
    <x v="0"/>
    <s v="SIN RENDIR"/>
    <s v="2018-03-20"/>
    <x v="1268"/>
    <x v="0"/>
    <x v="0"/>
    <n v="0"/>
    <n v="1"/>
  </r>
  <r>
    <n v="1"/>
    <n v="3"/>
    <x v="0"/>
    <s v="RENDIDA"/>
    <s v="2018-03-20"/>
    <x v="1269"/>
    <x v="0"/>
    <x v="0"/>
    <n v="1"/>
    <n v="1"/>
  </r>
  <r>
    <n v="1"/>
    <n v="3"/>
    <x v="0"/>
    <s v="RENDIDA"/>
    <s v="2018-03-20"/>
    <x v="1270"/>
    <x v="0"/>
    <x v="0"/>
    <n v="1"/>
    <n v="1"/>
  </r>
  <r>
    <n v="1"/>
    <n v="3"/>
    <x v="0"/>
    <s v="RENDIDA"/>
    <s v="2018-03-20"/>
    <x v="1271"/>
    <x v="0"/>
    <x v="0"/>
    <n v="1"/>
    <n v="1"/>
  </r>
  <r>
    <n v="1"/>
    <n v="3"/>
    <x v="0"/>
    <s v="RENDIDA"/>
    <s v="2018-03-20"/>
    <x v="1272"/>
    <x v="0"/>
    <x v="0"/>
    <n v="1"/>
    <n v="1"/>
  </r>
  <r>
    <n v="1"/>
    <n v="3"/>
    <x v="0"/>
    <s v="RENDIDA"/>
    <s v="2018-03-20"/>
    <x v="1273"/>
    <x v="0"/>
    <x v="0"/>
    <n v="1"/>
    <n v="1"/>
  </r>
  <r>
    <n v="1"/>
    <n v="3"/>
    <x v="0"/>
    <s v="RENDIDA"/>
    <s v="2018-03-20"/>
    <x v="1274"/>
    <x v="0"/>
    <x v="0"/>
    <n v="1"/>
    <n v="1"/>
  </r>
  <r>
    <n v="1"/>
    <n v="3"/>
    <x v="0"/>
    <s v="RENDIDA"/>
    <s v="2018-03-20"/>
    <x v="1275"/>
    <x v="0"/>
    <x v="0"/>
    <n v="1"/>
    <n v="1"/>
  </r>
  <r>
    <n v="1"/>
    <n v="3"/>
    <x v="0"/>
    <s v="RENDIDA"/>
    <s v="2018-03-20"/>
    <x v="1276"/>
    <x v="0"/>
    <x v="0"/>
    <n v="1"/>
    <n v="1"/>
  </r>
  <r>
    <n v="1"/>
    <n v="3"/>
    <x v="0"/>
    <s v="RENDIDA"/>
    <s v="2018-03-20"/>
    <x v="1277"/>
    <x v="0"/>
    <x v="0"/>
    <n v="1"/>
    <n v="1"/>
  </r>
  <r>
    <n v="1"/>
    <n v="3"/>
    <x v="0"/>
    <s v="RENDIDA"/>
    <s v="2018-03-22"/>
    <x v="1278"/>
    <x v="0"/>
    <x v="0"/>
    <n v="1"/>
    <n v="1"/>
  </r>
  <r>
    <n v="1"/>
    <n v="3"/>
    <x v="0"/>
    <s v="RENDIDA"/>
    <s v="2018-03-22"/>
    <x v="1279"/>
    <x v="0"/>
    <x v="0"/>
    <n v="1"/>
    <n v="1"/>
  </r>
  <r>
    <n v="1"/>
    <n v="3"/>
    <x v="0"/>
    <s v="RENDIDA"/>
    <s v="2018-03-22"/>
    <x v="1280"/>
    <x v="0"/>
    <x v="0"/>
    <n v="1"/>
    <n v="1"/>
  </r>
  <r>
    <n v="1"/>
    <n v="3"/>
    <x v="0"/>
    <s v="RENDIDA"/>
    <s v="2018-03-22"/>
    <x v="1281"/>
    <x v="0"/>
    <x v="0"/>
    <n v="1"/>
    <n v="1"/>
  </r>
  <r>
    <n v="1"/>
    <n v="3"/>
    <x v="0"/>
    <s v="RENDIDA"/>
    <s v="2018-03-22"/>
    <x v="1282"/>
    <x v="0"/>
    <x v="0"/>
    <n v="1"/>
    <n v="1"/>
  </r>
  <r>
    <n v="1"/>
    <n v="3"/>
    <x v="0"/>
    <s v="RENDIDA"/>
    <s v="2018-03-22"/>
    <x v="1283"/>
    <x v="0"/>
    <x v="0"/>
    <n v="1"/>
    <n v="1"/>
  </r>
  <r>
    <n v="1"/>
    <n v="3"/>
    <x v="0"/>
    <s v="RENDIDA"/>
    <s v="2018-03-22"/>
    <x v="1284"/>
    <x v="0"/>
    <x v="0"/>
    <n v="1"/>
    <n v="1"/>
  </r>
  <r>
    <n v="1"/>
    <n v="3"/>
    <x v="0"/>
    <s v="RENDIDA"/>
    <s v="2018-03-22"/>
    <x v="1285"/>
    <x v="0"/>
    <x v="0"/>
    <n v="1"/>
    <n v="1"/>
  </r>
  <r>
    <n v="1"/>
    <n v="3"/>
    <x v="2"/>
    <s v="RENDIDA"/>
    <s v="2018-03-09"/>
    <x v="1286"/>
    <x v="0"/>
    <x v="0"/>
    <n v="1"/>
    <n v="1"/>
  </r>
  <r>
    <n v="1"/>
    <n v="3"/>
    <x v="2"/>
    <s v="RENDIDA"/>
    <s v="2018-03-09"/>
    <x v="1287"/>
    <x v="0"/>
    <x v="0"/>
    <n v="1"/>
    <n v="1"/>
  </r>
  <r>
    <n v="1"/>
    <n v="3"/>
    <x v="2"/>
    <s v="RENDIDA"/>
    <s v="2018-03-09"/>
    <x v="1288"/>
    <x v="0"/>
    <x v="0"/>
    <n v="1"/>
    <n v="1"/>
  </r>
  <r>
    <n v="1"/>
    <n v="3"/>
    <x v="2"/>
    <s v="RENDIDA"/>
    <s v="2018-03-09"/>
    <x v="1289"/>
    <x v="0"/>
    <x v="0"/>
    <n v="1"/>
    <n v="1"/>
  </r>
  <r>
    <n v="1"/>
    <n v="3"/>
    <x v="2"/>
    <s v="RENDIDA"/>
    <s v="2018-03-09"/>
    <x v="1290"/>
    <x v="0"/>
    <x v="0"/>
    <n v="1"/>
    <n v="1"/>
  </r>
  <r>
    <n v="1"/>
    <n v="3"/>
    <x v="2"/>
    <s v="RENDIDA"/>
    <s v="2018-03-09"/>
    <x v="1291"/>
    <x v="0"/>
    <x v="0"/>
    <n v="1"/>
    <n v="1"/>
  </r>
  <r>
    <n v="1"/>
    <n v="3"/>
    <x v="2"/>
    <s v="RENDIDA"/>
    <s v="2018-03-09"/>
    <x v="1292"/>
    <x v="0"/>
    <x v="0"/>
    <n v="1"/>
    <n v="1"/>
  </r>
  <r>
    <n v="1"/>
    <n v="3"/>
    <x v="2"/>
    <s v="RENDIDA"/>
    <s v="2018-03-09"/>
    <x v="1293"/>
    <x v="0"/>
    <x v="0"/>
    <n v="1"/>
    <n v="1"/>
  </r>
  <r>
    <n v="1"/>
    <n v="3"/>
    <x v="2"/>
    <s v="RENDIDA"/>
    <s v="2018-03-09"/>
    <x v="1294"/>
    <x v="0"/>
    <x v="0"/>
    <n v="1"/>
    <n v="1"/>
  </r>
  <r>
    <n v="1"/>
    <n v="3"/>
    <x v="2"/>
    <s v="RENDIDA"/>
    <s v="2018-03-09"/>
    <x v="1295"/>
    <x v="0"/>
    <x v="0"/>
    <n v="1"/>
    <n v="1"/>
  </r>
  <r>
    <n v="1"/>
    <n v="3"/>
    <x v="2"/>
    <s v="RENDIDA"/>
    <s v="2018-03-09"/>
    <x v="1296"/>
    <x v="0"/>
    <x v="0"/>
    <n v="1"/>
    <n v="1"/>
  </r>
  <r>
    <n v="1"/>
    <n v="3"/>
    <x v="2"/>
    <s v="RENDIDA"/>
    <s v="2018-03-09"/>
    <x v="1297"/>
    <x v="0"/>
    <x v="0"/>
    <n v="1"/>
    <n v="1"/>
  </r>
  <r>
    <n v="1"/>
    <n v="3"/>
    <x v="2"/>
    <s v="RENDIDA"/>
    <s v="2018-03-09"/>
    <x v="1298"/>
    <x v="0"/>
    <x v="0"/>
    <n v="1"/>
    <n v="1"/>
  </r>
  <r>
    <n v="1"/>
    <n v="3"/>
    <x v="2"/>
    <s v="RENDIDA"/>
    <s v="2018-03-09"/>
    <x v="1299"/>
    <x v="0"/>
    <x v="0"/>
    <n v="1"/>
    <n v="1"/>
  </r>
  <r>
    <n v="1"/>
    <n v="3"/>
    <x v="2"/>
    <s v="RENDIDA"/>
    <s v="2018-03-09"/>
    <x v="1300"/>
    <x v="0"/>
    <x v="0"/>
    <n v="1"/>
    <n v="1"/>
  </r>
  <r>
    <n v="1"/>
    <n v="3"/>
    <x v="2"/>
    <s v="RENDIDA"/>
    <s v="2018-03-09"/>
    <x v="1301"/>
    <x v="0"/>
    <x v="0"/>
    <n v="1"/>
    <n v="1"/>
  </r>
  <r>
    <n v="1"/>
    <n v="3"/>
    <x v="2"/>
    <s v="RENDIDA"/>
    <s v="2018-03-09"/>
    <x v="1302"/>
    <x v="0"/>
    <x v="0"/>
    <n v="1"/>
    <n v="1"/>
  </r>
  <r>
    <n v="1"/>
    <n v="3"/>
    <x v="2"/>
    <s v="RENDIDA"/>
    <s v="2018-03-09"/>
    <x v="1303"/>
    <x v="0"/>
    <x v="0"/>
    <n v="1"/>
    <n v="1"/>
  </r>
  <r>
    <n v="1"/>
    <n v="3"/>
    <x v="2"/>
    <s v="RENDIDA"/>
    <s v="2018-03-09"/>
    <x v="1304"/>
    <x v="0"/>
    <x v="0"/>
    <n v="1"/>
    <n v="1"/>
  </r>
  <r>
    <n v="1"/>
    <n v="3"/>
    <x v="2"/>
    <s v="RENDIDA"/>
    <s v="2018-03-09"/>
    <x v="1305"/>
    <x v="0"/>
    <x v="0"/>
    <n v="1"/>
    <n v="1"/>
  </r>
  <r>
    <n v="1"/>
    <n v="3"/>
    <x v="2"/>
    <s v="RENDIDA"/>
    <s v="2018-03-09"/>
    <x v="1306"/>
    <x v="0"/>
    <x v="0"/>
    <n v="1"/>
    <n v="1"/>
  </r>
  <r>
    <n v="1"/>
    <n v="3"/>
    <x v="2"/>
    <s v="RENDIDA"/>
    <s v="2018-03-09"/>
    <x v="1307"/>
    <x v="0"/>
    <x v="0"/>
    <n v="1"/>
    <n v="1"/>
  </r>
  <r>
    <n v="1"/>
    <n v="3"/>
    <x v="2"/>
    <s v="RENDIDA"/>
    <s v="2018-03-09"/>
    <x v="1308"/>
    <x v="0"/>
    <x v="0"/>
    <n v="1"/>
    <n v="1"/>
  </r>
  <r>
    <n v="1"/>
    <n v="3"/>
    <x v="2"/>
    <s v="RENDIDA"/>
    <s v="2018-03-09"/>
    <x v="1309"/>
    <x v="0"/>
    <x v="0"/>
    <n v="1"/>
    <n v="1"/>
  </r>
  <r>
    <n v="1"/>
    <n v="3"/>
    <x v="2"/>
    <s v="RENDIDA"/>
    <s v="2018-03-09"/>
    <x v="1310"/>
    <x v="0"/>
    <x v="0"/>
    <n v="1"/>
    <n v="1"/>
  </r>
  <r>
    <n v="1"/>
    <n v="3"/>
    <x v="2"/>
    <s v="RENDIDA"/>
    <s v="2018-03-09"/>
    <x v="1311"/>
    <x v="0"/>
    <x v="0"/>
    <n v="1"/>
    <n v="1"/>
  </r>
  <r>
    <n v="1"/>
    <n v="3"/>
    <x v="2"/>
    <s v="RENDIDA"/>
    <s v="2018-03-09"/>
    <x v="1312"/>
    <x v="0"/>
    <x v="0"/>
    <n v="1"/>
    <n v="1"/>
  </r>
  <r>
    <n v="1"/>
    <n v="3"/>
    <x v="2"/>
    <s v="RENDIDA"/>
    <s v="2018-03-09"/>
    <x v="1313"/>
    <x v="0"/>
    <x v="0"/>
    <n v="1"/>
    <n v="1"/>
  </r>
  <r>
    <n v="1"/>
    <n v="3"/>
    <x v="2"/>
    <s v="RENDIDA"/>
    <s v="2018-03-09"/>
    <x v="1314"/>
    <x v="0"/>
    <x v="0"/>
    <n v="1"/>
    <n v="1"/>
  </r>
  <r>
    <n v="1"/>
    <n v="3"/>
    <x v="2"/>
    <s v="RENDIDA"/>
    <s v="2018-03-09"/>
    <x v="1315"/>
    <x v="0"/>
    <x v="0"/>
    <n v="1"/>
    <n v="1"/>
  </r>
  <r>
    <n v="1"/>
    <n v="3"/>
    <x v="2"/>
    <s v="RENDIDA"/>
    <s v="2018-03-09"/>
    <x v="1316"/>
    <x v="0"/>
    <x v="0"/>
    <n v="1"/>
    <n v="1"/>
  </r>
  <r>
    <n v="1"/>
    <n v="3"/>
    <x v="2"/>
    <s v="RENDIDA"/>
    <s v="2018-03-09"/>
    <x v="1317"/>
    <x v="0"/>
    <x v="0"/>
    <n v="1"/>
    <n v="1"/>
  </r>
  <r>
    <n v="1"/>
    <n v="3"/>
    <x v="2"/>
    <s v="RENDIDA"/>
    <s v="2018-03-09"/>
    <x v="1318"/>
    <x v="0"/>
    <x v="0"/>
    <n v="1"/>
    <n v="1"/>
  </r>
  <r>
    <n v="1"/>
    <n v="3"/>
    <x v="2"/>
    <s v="RENDIDA"/>
    <s v="2018-03-09"/>
    <x v="1319"/>
    <x v="0"/>
    <x v="0"/>
    <n v="1"/>
    <n v="1"/>
  </r>
  <r>
    <n v="1"/>
    <n v="3"/>
    <x v="2"/>
    <s v="RENDIDA"/>
    <s v="2018-03-09"/>
    <x v="1320"/>
    <x v="0"/>
    <x v="0"/>
    <n v="1"/>
    <n v="1"/>
  </r>
  <r>
    <n v="1"/>
    <n v="3"/>
    <x v="2"/>
    <s v="RENDIDA"/>
    <s v="2018-03-09"/>
    <x v="1321"/>
    <x v="0"/>
    <x v="0"/>
    <n v="1"/>
    <n v="1"/>
  </r>
  <r>
    <n v="1"/>
    <n v="3"/>
    <x v="2"/>
    <s v="RENDIDA"/>
    <s v="2018-03-09"/>
    <x v="1322"/>
    <x v="0"/>
    <x v="0"/>
    <n v="1"/>
    <n v="1"/>
  </r>
  <r>
    <n v="1"/>
    <n v="3"/>
    <x v="2"/>
    <s v="RENDIDA"/>
    <s v="2018-03-13"/>
    <x v="1323"/>
    <x v="0"/>
    <x v="0"/>
    <n v="1"/>
    <n v="1"/>
  </r>
  <r>
    <n v="1"/>
    <n v="3"/>
    <x v="2"/>
    <s v="RENDIDA"/>
    <s v="2018-03-13"/>
    <x v="1324"/>
    <x v="0"/>
    <x v="0"/>
    <n v="1"/>
    <n v="1"/>
  </r>
  <r>
    <n v="1"/>
    <n v="3"/>
    <x v="2"/>
    <s v="RENDIDA"/>
    <s v="2018-03-13"/>
    <x v="1325"/>
    <x v="0"/>
    <x v="0"/>
    <n v="1"/>
    <n v="1"/>
  </r>
  <r>
    <n v="1"/>
    <n v="3"/>
    <x v="2"/>
    <s v="RENDIDA"/>
    <s v="2018-03-14"/>
    <x v="1326"/>
    <x v="0"/>
    <x v="0"/>
    <n v="1"/>
    <n v="1"/>
  </r>
  <r>
    <n v="1"/>
    <n v="3"/>
    <x v="2"/>
    <s v="RENDIDA"/>
    <s v="2018-03-13"/>
    <x v="1327"/>
    <x v="0"/>
    <x v="0"/>
    <n v="1"/>
    <n v="1"/>
  </r>
  <r>
    <n v="1"/>
    <n v="3"/>
    <x v="2"/>
    <s v="RENDIDA"/>
    <s v="2018-03-13"/>
    <x v="1328"/>
    <x v="0"/>
    <x v="0"/>
    <n v="1"/>
    <n v="1"/>
  </r>
  <r>
    <n v="1"/>
    <n v="3"/>
    <x v="2"/>
    <s v="RENDIDA"/>
    <s v="2018-03-13"/>
    <x v="1329"/>
    <x v="0"/>
    <x v="0"/>
    <n v="1"/>
    <n v="1"/>
  </r>
  <r>
    <n v="1"/>
    <n v="3"/>
    <x v="2"/>
    <s v="RENDIDA"/>
    <s v="2018-03-13"/>
    <x v="1330"/>
    <x v="0"/>
    <x v="0"/>
    <n v="1"/>
    <n v="1"/>
  </r>
  <r>
    <n v="1"/>
    <n v="3"/>
    <x v="2"/>
    <s v="RENDIDA"/>
    <s v="2018-03-13"/>
    <x v="1331"/>
    <x v="0"/>
    <x v="0"/>
    <n v="1"/>
    <n v="1"/>
  </r>
  <r>
    <n v="1"/>
    <n v="3"/>
    <x v="2"/>
    <s v="RENDIDA"/>
    <s v="2018-03-13"/>
    <x v="1332"/>
    <x v="0"/>
    <x v="0"/>
    <n v="1"/>
    <n v="1"/>
  </r>
  <r>
    <n v="1"/>
    <n v="3"/>
    <x v="0"/>
    <s v="RENDIDA"/>
    <s v="2018-03-27"/>
    <x v="1333"/>
    <x v="0"/>
    <x v="0"/>
    <n v="1"/>
    <n v="1"/>
  </r>
  <r>
    <n v="1"/>
    <n v="3"/>
    <x v="0"/>
    <s v="RENDIDA"/>
    <s v="2018-03-27"/>
    <x v="1334"/>
    <x v="0"/>
    <x v="0"/>
    <n v="1"/>
    <n v="1"/>
  </r>
  <r>
    <n v="1"/>
    <n v="3"/>
    <x v="0"/>
    <s v="RENDIDA"/>
    <s v="2018-03-27"/>
    <x v="1335"/>
    <x v="0"/>
    <x v="0"/>
    <n v="1"/>
    <n v="1"/>
  </r>
  <r>
    <n v="1"/>
    <n v="3"/>
    <x v="0"/>
    <s v="RENDIDA"/>
    <s v="2018-03-27"/>
    <x v="1336"/>
    <x v="0"/>
    <x v="0"/>
    <n v="1"/>
    <n v="1"/>
  </r>
  <r>
    <n v="1"/>
    <n v="3"/>
    <x v="0"/>
    <s v="RENDIDA"/>
    <s v="2018-03-27"/>
    <x v="1337"/>
    <x v="0"/>
    <x v="0"/>
    <n v="1"/>
    <n v="1"/>
  </r>
  <r>
    <n v="1"/>
    <n v="3"/>
    <x v="0"/>
    <s v="RENDIDA"/>
    <s v="2018-03-27"/>
    <x v="1338"/>
    <x v="0"/>
    <x v="0"/>
    <n v="1"/>
    <n v="1"/>
  </r>
  <r>
    <n v="1"/>
    <n v="3"/>
    <x v="0"/>
    <s v="RENDIDA"/>
    <s v="2018-03-27"/>
    <x v="1339"/>
    <x v="0"/>
    <x v="0"/>
    <n v="1"/>
    <n v="1"/>
  </r>
  <r>
    <n v="1"/>
    <n v="3"/>
    <x v="0"/>
    <s v="RENDIDA"/>
    <s v="2018-03-29"/>
    <x v="1340"/>
    <x v="0"/>
    <x v="0"/>
    <n v="1"/>
    <n v="1"/>
  </r>
  <r>
    <n v="1"/>
    <n v="3"/>
    <x v="0"/>
    <s v="RENDIDA"/>
    <s v="2018-03-29"/>
    <x v="1341"/>
    <x v="0"/>
    <x v="0"/>
    <n v="1"/>
    <n v="1"/>
  </r>
  <r>
    <n v="1"/>
    <n v="3"/>
    <x v="0"/>
    <s v="RENDIDA"/>
    <s v="2018-03-29"/>
    <x v="1342"/>
    <x v="0"/>
    <x v="0"/>
    <n v="1"/>
    <n v="1"/>
  </r>
  <r>
    <n v="1"/>
    <n v="3"/>
    <x v="0"/>
    <s v="RENDIDA"/>
    <s v="2018-03-29"/>
    <x v="1343"/>
    <x v="0"/>
    <x v="0"/>
    <n v="1"/>
    <n v="1"/>
  </r>
  <r>
    <n v="1"/>
    <n v="3"/>
    <x v="0"/>
    <s v="RENDIDA"/>
    <s v="2018-03-29"/>
    <x v="1344"/>
    <x v="0"/>
    <x v="0"/>
    <n v="1"/>
    <n v="1"/>
  </r>
  <r>
    <n v="1"/>
    <n v="3"/>
    <x v="0"/>
    <s v="RENDIDA"/>
    <s v="2018-03-29"/>
    <x v="1345"/>
    <x v="0"/>
    <x v="0"/>
    <n v="1"/>
    <n v="1"/>
  </r>
  <r>
    <n v="1"/>
    <n v="3"/>
    <x v="0"/>
    <s v="RENDIDA"/>
    <s v="2018-03-29"/>
    <x v="1346"/>
    <x v="0"/>
    <x v="0"/>
    <n v="1"/>
    <n v="1"/>
  </r>
  <r>
    <n v="1"/>
    <n v="3"/>
    <x v="0"/>
    <s v="RENDIDA"/>
    <s v="2018-03-29"/>
    <x v="1347"/>
    <x v="0"/>
    <x v="0"/>
    <n v="1"/>
    <n v="1"/>
  </r>
  <r>
    <n v="1"/>
    <n v="3"/>
    <x v="0"/>
    <s v="RENDIDA"/>
    <s v="2018-03-29"/>
    <x v="1348"/>
    <x v="0"/>
    <x v="0"/>
    <n v="1"/>
    <n v="1"/>
  </r>
  <r>
    <n v="1"/>
    <n v="3"/>
    <x v="0"/>
    <s v="RENDIDA"/>
    <s v="2018-03-29"/>
    <x v="1349"/>
    <x v="0"/>
    <x v="0"/>
    <n v="1"/>
    <n v="1"/>
  </r>
  <r>
    <n v="1"/>
    <n v="3"/>
    <x v="0"/>
    <s v="RENDIDA"/>
    <s v="2018-03-29"/>
    <x v="1350"/>
    <x v="0"/>
    <x v="0"/>
    <n v="1"/>
    <n v="1"/>
  </r>
  <r>
    <n v="1"/>
    <n v="3"/>
    <x v="0"/>
    <s v="RENDIDA"/>
    <s v="2018-03-29"/>
    <x v="1351"/>
    <x v="0"/>
    <x v="0"/>
    <n v="1"/>
    <n v="1"/>
  </r>
  <r>
    <n v="1"/>
    <n v="3"/>
    <x v="0"/>
    <s v="RENDIDA"/>
    <s v="2018-03-29"/>
    <x v="1352"/>
    <x v="0"/>
    <x v="0"/>
    <n v="1"/>
    <n v="1"/>
  </r>
  <r>
    <n v="1"/>
    <n v="3"/>
    <x v="0"/>
    <s v="RENDIDA"/>
    <s v="2018-03-29"/>
    <x v="1353"/>
    <x v="0"/>
    <x v="0"/>
    <n v="1"/>
    <n v="1"/>
  </r>
  <r>
    <n v="1"/>
    <n v="3"/>
    <x v="0"/>
    <s v="RENDIDA"/>
    <s v="2018-03-29"/>
    <x v="1354"/>
    <x v="0"/>
    <x v="0"/>
    <n v="1"/>
    <n v="1"/>
  </r>
  <r>
    <n v="1"/>
    <n v="3"/>
    <x v="0"/>
    <s v="RENDIDA"/>
    <s v="2018-03-29"/>
    <x v="1355"/>
    <x v="0"/>
    <x v="0"/>
    <n v="1"/>
    <n v="1"/>
  </r>
  <r>
    <n v="1"/>
    <n v="3"/>
    <x v="0"/>
    <s v="RENDIDA"/>
    <s v="2018-03-29"/>
    <x v="1356"/>
    <x v="0"/>
    <x v="0"/>
    <n v="1"/>
    <n v="1"/>
  </r>
  <r>
    <n v="1"/>
    <n v="3"/>
    <x v="0"/>
    <s v="RENDIDA"/>
    <s v="2018-03-29"/>
    <x v="1357"/>
    <x v="0"/>
    <x v="0"/>
    <n v="1"/>
    <n v="1"/>
  </r>
  <r>
    <n v="1"/>
    <n v="3"/>
    <x v="0"/>
    <s v="RENDIDA"/>
    <s v="2018-03-29"/>
    <x v="1358"/>
    <x v="0"/>
    <x v="0"/>
    <n v="1"/>
    <n v="1"/>
  </r>
  <r>
    <n v="1"/>
    <n v="3"/>
    <x v="0"/>
    <s v="RENDIDA"/>
    <s v="2018-03-29"/>
    <x v="1359"/>
    <x v="0"/>
    <x v="0"/>
    <n v="1"/>
    <n v="1"/>
  </r>
  <r>
    <n v="1"/>
    <n v="3"/>
    <x v="0"/>
    <s v="RENDIDA"/>
    <s v="2018-03-29"/>
    <x v="1360"/>
    <x v="0"/>
    <x v="0"/>
    <n v="1"/>
    <n v="1"/>
  </r>
  <r>
    <n v="1"/>
    <n v="3"/>
    <x v="0"/>
    <s v="RENDIDA"/>
    <s v="2018-03-29"/>
    <x v="1361"/>
    <x v="0"/>
    <x v="0"/>
    <n v="1"/>
    <n v="1"/>
  </r>
  <r>
    <n v="1"/>
    <n v="3"/>
    <x v="0"/>
    <s v="RENDIDA"/>
    <s v="2018-03-29"/>
    <x v="1362"/>
    <x v="0"/>
    <x v="0"/>
    <n v="1"/>
    <n v="1"/>
  </r>
  <r>
    <n v="1"/>
    <n v="3"/>
    <x v="0"/>
    <s v="RENDIDA"/>
    <s v="2018-03-29"/>
    <x v="1363"/>
    <x v="0"/>
    <x v="0"/>
    <n v="1"/>
    <n v="1"/>
  </r>
  <r>
    <n v="1"/>
    <n v="3"/>
    <x v="0"/>
    <s v="RENDIDA"/>
    <s v="2018-03-29"/>
    <x v="1364"/>
    <x v="0"/>
    <x v="0"/>
    <n v="1"/>
    <n v="1"/>
  </r>
  <r>
    <n v="1"/>
    <n v="3"/>
    <x v="0"/>
    <s v="RENDIDA"/>
    <s v="2018-03-29"/>
    <x v="1365"/>
    <x v="0"/>
    <x v="0"/>
    <n v="1"/>
    <n v="1"/>
  </r>
  <r>
    <n v="1"/>
    <n v="3"/>
    <x v="0"/>
    <s v="RENDIDA"/>
    <s v="2018-03-29"/>
    <x v="1366"/>
    <x v="0"/>
    <x v="0"/>
    <n v="1"/>
    <n v="1"/>
  </r>
  <r>
    <n v="1"/>
    <n v="3"/>
    <x v="0"/>
    <s v="RENDIDA"/>
    <s v="2018-03-29"/>
    <x v="1367"/>
    <x v="0"/>
    <x v="0"/>
    <n v="1"/>
    <n v="1"/>
  </r>
  <r>
    <n v="1"/>
    <n v="3"/>
    <x v="0"/>
    <s v="RENDIDA"/>
    <s v="2018-03-29"/>
    <x v="1368"/>
    <x v="0"/>
    <x v="0"/>
    <n v="1"/>
    <n v="1"/>
  </r>
  <r>
    <n v="1"/>
    <n v="3"/>
    <x v="0"/>
    <s v="RENDIDA"/>
    <s v="2018-03-29"/>
    <x v="1369"/>
    <x v="0"/>
    <x v="0"/>
    <n v="1"/>
    <n v="1"/>
  </r>
  <r>
    <n v="1"/>
    <n v="3"/>
    <x v="0"/>
    <s v="RENDIDA"/>
    <s v="2018-03-29"/>
    <x v="1370"/>
    <x v="0"/>
    <x v="0"/>
    <n v="1"/>
    <n v="1"/>
  </r>
  <r>
    <n v="1"/>
    <n v="3"/>
    <x v="0"/>
    <s v="RENDIDA"/>
    <s v="2018-03-29"/>
    <x v="1371"/>
    <x v="0"/>
    <x v="0"/>
    <n v="1"/>
    <n v="1"/>
  </r>
  <r>
    <n v="1"/>
    <n v="3"/>
    <x v="2"/>
    <s v="RENDIDA"/>
    <s v="2018-03-15"/>
    <x v="1372"/>
    <x v="0"/>
    <x v="0"/>
    <n v="1"/>
    <n v="1"/>
  </r>
  <r>
    <n v="1"/>
    <n v="3"/>
    <x v="2"/>
    <s v="RENDIDA"/>
    <s v="2018-03-15"/>
    <x v="1373"/>
    <x v="0"/>
    <x v="0"/>
    <n v="1"/>
    <n v="1"/>
  </r>
  <r>
    <n v="1"/>
    <n v="3"/>
    <x v="2"/>
    <s v="RENDIDA"/>
    <s v="2018-03-15"/>
    <x v="1374"/>
    <x v="0"/>
    <x v="0"/>
    <n v="1"/>
    <n v="1"/>
  </r>
  <r>
    <n v="1"/>
    <n v="3"/>
    <x v="2"/>
    <s v="RENDIDA"/>
    <s v="2018-03-15"/>
    <x v="1375"/>
    <x v="0"/>
    <x v="0"/>
    <n v="1"/>
    <n v="1"/>
  </r>
  <r>
    <n v="1"/>
    <n v="3"/>
    <x v="2"/>
    <s v="RENDIDA"/>
    <s v="2018-03-15"/>
    <x v="1376"/>
    <x v="0"/>
    <x v="0"/>
    <n v="1"/>
    <n v="1"/>
  </r>
  <r>
    <n v="1"/>
    <n v="3"/>
    <x v="2"/>
    <s v="RENDIDA"/>
    <s v="2018-03-15"/>
    <x v="1377"/>
    <x v="0"/>
    <x v="0"/>
    <n v="1"/>
    <n v="1"/>
  </r>
  <r>
    <n v="1"/>
    <n v="3"/>
    <x v="2"/>
    <s v="RENDIDA"/>
    <s v="2018-03-15"/>
    <x v="1378"/>
    <x v="0"/>
    <x v="0"/>
    <n v="1"/>
    <n v="1"/>
  </r>
  <r>
    <n v="1"/>
    <n v="3"/>
    <x v="2"/>
    <s v="RENDIDA"/>
    <s v="2018-03-15"/>
    <x v="1379"/>
    <x v="0"/>
    <x v="0"/>
    <n v="1"/>
    <n v="1"/>
  </r>
  <r>
    <n v="1"/>
    <n v="3"/>
    <x v="2"/>
    <s v="RENDIDA"/>
    <s v="2018-03-15"/>
    <x v="1380"/>
    <x v="0"/>
    <x v="0"/>
    <n v="1"/>
    <n v="1"/>
  </r>
  <r>
    <n v="1"/>
    <n v="3"/>
    <x v="2"/>
    <s v="RENDIDA"/>
    <s v="2018-03-15"/>
    <x v="1381"/>
    <x v="0"/>
    <x v="0"/>
    <n v="1"/>
    <n v="1"/>
  </r>
  <r>
    <n v="1"/>
    <n v="3"/>
    <x v="2"/>
    <s v="RENDIDA"/>
    <s v="2018-03-15"/>
    <x v="1382"/>
    <x v="0"/>
    <x v="0"/>
    <n v="1"/>
    <n v="1"/>
  </r>
  <r>
    <n v="1"/>
    <n v="3"/>
    <x v="2"/>
    <s v="RENDIDA"/>
    <s v="2018-03-15"/>
    <x v="1383"/>
    <x v="0"/>
    <x v="0"/>
    <n v="1"/>
    <n v="1"/>
  </r>
  <r>
    <n v="1"/>
    <n v="3"/>
    <x v="2"/>
    <s v="RENDIDA"/>
    <s v="2018-03-15"/>
    <x v="1384"/>
    <x v="0"/>
    <x v="0"/>
    <n v="1"/>
    <n v="1"/>
  </r>
  <r>
    <n v="1"/>
    <n v="3"/>
    <x v="2"/>
    <s v="RENDIDA"/>
    <s v="2018-03-15"/>
    <x v="1385"/>
    <x v="0"/>
    <x v="0"/>
    <n v="1"/>
    <n v="1"/>
  </r>
  <r>
    <n v="1"/>
    <n v="3"/>
    <x v="2"/>
    <s v="RENDIDA"/>
    <s v="2018-03-15"/>
    <x v="1386"/>
    <x v="0"/>
    <x v="0"/>
    <n v="1"/>
    <n v="1"/>
  </r>
  <r>
    <n v="1"/>
    <n v="3"/>
    <x v="2"/>
    <s v="RENDIDA"/>
    <s v="2018-03-15"/>
    <x v="1387"/>
    <x v="0"/>
    <x v="0"/>
    <n v="1"/>
    <n v="1"/>
  </r>
  <r>
    <n v="1"/>
    <n v="3"/>
    <x v="2"/>
    <s v="RENDIDA"/>
    <s v="2018-03-15"/>
    <x v="1388"/>
    <x v="0"/>
    <x v="0"/>
    <n v="1"/>
    <n v="1"/>
  </r>
  <r>
    <n v="1"/>
    <n v="3"/>
    <x v="2"/>
    <s v="RENDIDA"/>
    <s v="2018-03-15"/>
    <x v="1389"/>
    <x v="0"/>
    <x v="0"/>
    <n v="1"/>
    <n v="1"/>
  </r>
  <r>
    <n v="1"/>
    <n v="3"/>
    <x v="2"/>
    <s v="RENDIDA"/>
    <s v="2018-03-15"/>
    <x v="1390"/>
    <x v="0"/>
    <x v="0"/>
    <n v="1"/>
    <n v="1"/>
  </r>
  <r>
    <n v="1"/>
    <n v="3"/>
    <x v="2"/>
    <s v="RENDIDA"/>
    <s v="2018-03-15"/>
    <x v="1391"/>
    <x v="0"/>
    <x v="0"/>
    <n v="1"/>
    <n v="1"/>
  </r>
  <r>
    <n v="1"/>
    <n v="3"/>
    <x v="2"/>
    <s v="RENDIDA"/>
    <s v="2018-03-15"/>
    <x v="1392"/>
    <x v="0"/>
    <x v="0"/>
    <n v="1"/>
    <n v="1"/>
  </r>
  <r>
    <n v="1"/>
    <n v="3"/>
    <x v="2"/>
    <s v="RENDIDA"/>
    <s v="2018-03-15"/>
    <x v="1393"/>
    <x v="0"/>
    <x v="0"/>
    <n v="1"/>
    <n v="1"/>
  </r>
  <r>
    <n v="1"/>
    <n v="3"/>
    <x v="2"/>
    <s v="RENDIDA"/>
    <s v="2018-03-15"/>
    <x v="1394"/>
    <x v="0"/>
    <x v="0"/>
    <n v="1"/>
    <n v="1"/>
  </r>
  <r>
    <n v="1"/>
    <n v="3"/>
    <x v="2"/>
    <s v="RENDIDA"/>
    <s v="2018-03-15"/>
    <x v="1395"/>
    <x v="0"/>
    <x v="0"/>
    <n v="1"/>
    <n v="1"/>
  </r>
  <r>
    <n v="1"/>
    <n v="3"/>
    <x v="2"/>
    <s v="RENDIDA"/>
    <s v="2018-03-15"/>
    <x v="1396"/>
    <x v="0"/>
    <x v="0"/>
    <n v="1"/>
    <n v="1"/>
  </r>
  <r>
    <n v="1"/>
    <n v="3"/>
    <x v="2"/>
    <s v="RENDIDA"/>
    <s v="2018-03-15"/>
    <x v="1397"/>
    <x v="0"/>
    <x v="0"/>
    <n v="1"/>
    <n v="1"/>
  </r>
  <r>
    <n v="1"/>
    <n v="3"/>
    <x v="2"/>
    <s v="RENDIDA"/>
    <s v="2018-03-15"/>
    <x v="1398"/>
    <x v="0"/>
    <x v="0"/>
    <n v="1"/>
    <n v="1"/>
  </r>
  <r>
    <n v="1"/>
    <n v="3"/>
    <x v="2"/>
    <s v="RENDIDA"/>
    <s v="2018-03-15"/>
    <x v="1399"/>
    <x v="0"/>
    <x v="0"/>
    <n v="1"/>
    <n v="1"/>
  </r>
  <r>
    <n v="1"/>
    <n v="3"/>
    <x v="2"/>
    <s v="RENDIDA"/>
    <s v="2018-03-15"/>
    <x v="1400"/>
    <x v="0"/>
    <x v="0"/>
    <n v="1"/>
    <n v="1"/>
  </r>
  <r>
    <n v="1"/>
    <n v="3"/>
    <x v="2"/>
    <s v="RENDIDA"/>
    <s v="2018-03-15"/>
    <x v="1401"/>
    <x v="0"/>
    <x v="0"/>
    <n v="1"/>
    <n v="1"/>
  </r>
  <r>
    <n v="1"/>
    <n v="3"/>
    <x v="2"/>
    <s v="RENDIDA"/>
    <s v="2018-03-19"/>
    <x v="1402"/>
    <x v="0"/>
    <x v="0"/>
    <n v="1"/>
    <n v="1"/>
  </r>
  <r>
    <n v="1"/>
    <n v="3"/>
    <x v="2"/>
    <s v="RENDIDA"/>
    <s v="2018-03-19"/>
    <x v="1403"/>
    <x v="0"/>
    <x v="0"/>
    <n v="1"/>
    <n v="1"/>
  </r>
  <r>
    <n v="1"/>
    <n v="3"/>
    <x v="2"/>
    <s v="RENDIDA"/>
    <s v="2018-03-19"/>
    <x v="1404"/>
    <x v="0"/>
    <x v="0"/>
    <n v="1"/>
    <n v="1"/>
  </r>
  <r>
    <n v="1"/>
    <n v="3"/>
    <x v="2"/>
    <s v="RENDIDA"/>
    <s v="2018-03-19"/>
    <x v="1405"/>
    <x v="0"/>
    <x v="0"/>
    <n v="1"/>
    <n v="1"/>
  </r>
  <r>
    <n v="1"/>
    <n v="3"/>
    <x v="2"/>
    <s v="RENDIDA"/>
    <s v="2018-03-19"/>
    <x v="1406"/>
    <x v="0"/>
    <x v="0"/>
    <n v="1"/>
    <n v="1"/>
  </r>
  <r>
    <n v="1"/>
    <n v="3"/>
    <x v="2"/>
    <s v="RENDIDA"/>
    <s v="2018-03-19"/>
    <x v="1407"/>
    <x v="0"/>
    <x v="0"/>
    <n v="1"/>
    <n v="1"/>
  </r>
  <r>
    <n v="1"/>
    <n v="3"/>
    <x v="2"/>
    <s v="RENDIDA"/>
    <s v="2018-03-19"/>
    <x v="1408"/>
    <x v="0"/>
    <x v="0"/>
    <n v="1"/>
    <n v="1"/>
  </r>
  <r>
    <n v="1"/>
    <n v="3"/>
    <x v="2"/>
    <s v="RENDIDA"/>
    <s v="2018-03-19"/>
    <x v="1409"/>
    <x v="0"/>
    <x v="0"/>
    <n v="1"/>
    <n v="1"/>
  </r>
  <r>
    <n v="1"/>
    <n v="3"/>
    <x v="2"/>
    <s v="RENDIDA"/>
    <s v="2018-03-19"/>
    <x v="1410"/>
    <x v="0"/>
    <x v="0"/>
    <n v="1"/>
    <n v="1"/>
  </r>
  <r>
    <n v="1"/>
    <n v="3"/>
    <x v="2"/>
    <s v="RENDIDA"/>
    <s v="2018-03-19"/>
    <x v="1411"/>
    <x v="0"/>
    <x v="0"/>
    <n v="1"/>
    <n v="1"/>
  </r>
  <r>
    <n v="1"/>
    <n v="3"/>
    <x v="2"/>
    <s v="RENDIDA"/>
    <s v="2018-03-19"/>
    <x v="1412"/>
    <x v="0"/>
    <x v="0"/>
    <n v="1"/>
    <n v="1"/>
  </r>
  <r>
    <n v="1"/>
    <n v="3"/>
    <x v="2"/>
    <s v="RENDIDA"/>
    <s v="2018-03-19"/>
    <x v="1413"/>
    <x v="0"/>
    <x v="0"/>
    <n v="1"/>
    <n v="1"/>
  </r>
  <r>
    <n v="1"/>
    <n v="3"/>
    <x v="2"/>
    <s v="RENDIDA"/>
    <s v="2018-03-19"/>
    <x v="1414"/>
    <x v="0"/>
    <x v="0"/>
    <n v="1"/>
    <n v="1"/>
  </r>
  <r>
    <n v="1"/>
    <n v="3"/>
    <x v="2"/>
    <s v="RENDIDA"/>
    <s v="2018-03-19"/>
    <x v="1415"/>
    <x v="0"/>
    <x v="0"/>
    <n v="1"/>
    <n v="1"/>
  </r>
  <r>
    <n v="1"/>
    <n v="3"/>
    <x v="2"/>
    <s v="RENDIDA"/>
    <s v="2018-03-19"/>
    <x v="1416"/>
    <x v="0"/>
    <x v="0"/>
    <n v="1"/>
    <n v="1"/>
  </r>
  <r>
    <n v="1"/>
    <n v="3"/>
    <x v="2"/>
    <s v="RENDIDA"/>
    <s v="2018-03-19"/>
    <x v="1417"/>
    <x v="0"/>
    <x v="0"/>
    <n v="1"/>
    <n v="1"/>
  </r>
  <r>
    <n v="1"/>
    <n v="3"/>
    <x v="2"/>
    <s v="RENDIDA"/>
    <s v="2018-03-22"/>
    <x v="1418"/>
    <x v="0"/>
    <x v="0"/>
    <n v="1"/>
    <n v="1"/>
  </r>
  <r>
    <n v="1"/>
    <n v="3"/>
    <x v="0"/>
    <s v="RENDIDA"/>
    <s v="2018-04-06"/>
    <x v="1419"/>
    <x v="0"/>
    <x v="1"/>
    <n v="1"/>
    <n v="1"/>
  </r>
  <r>
    <n v="1"/>
    <n v="3"/>
    <x v="0"/>
    <s v="RENDIDA"/>
    <s v="2018-04-06"/>
    <x v="1420"/>
    <x v="0"/>
    <x v="1"/>
    <n v="1"/>
    <n v="1"/>
  </r>
  <r>
    <n v="1"/>
    <n v="3"/>
    <x v="0"/>
    <s v="RENDIDA"/>
    <s v="2018-04-06"/>
    <x v="1421"/>
    <x v="0"/>
    <x v="1"/>
    <n v="1"/>
    <n v="1"/>
  </r>
  <r>
    <n v="1"/>
    <n v="3"/>
    <x v="0"/>
    <s v="RENDIDA"/>
    <s v="2018-04-06"/>
    <x v="1422"/>
    <x v="0"/>
    <x v="1"/>
    <n v="1"/>
    <n v="1"/>
  </r>
  <r>
    <n v="1"/>
    <n v="3"/>
    <x v="0"/>
    <s v="RENDIDA"/>
    <s v="2018-04-06"/>
    <x v="1423"/>
    <x v="0"/>
    <x v="1"/>
    <n v="1"/>
    <n v="1"/>
  </r>
  <r>
    <n v="1"/>
    <n v="3"/>
    <x v="0"/>
    <s v="RENDIDA"/>
    <s v="2018-04-06"/>
    <x v="1424"/>
    <x v="0"/>
    <x v="1"/>
    <n v="1"/>
    <n v="1"/>
  </r>
  <r>
    <n v="1"/>
    <n v="3"/>
    <x v="0"/>
    <s v="RENDIDA"/>
    <s v="2018-04-06"/>
    <x v="1425"/>
    <x v="0"/>
    <x v="1"/>
    <n v="1"/>
    <n v="1"/>
  </r>
  <r>
    <n v="1"/>
    <n v="3"/>
    <x v="0"/>
    <s v="RENDIDA"/>
    <s v="2018-04-06"/>
    <x v="1426"/>
    <x v="0"/>
    <x v="1"/>
    <n v="1"/>
    <n v="1"/>
  </r>
  <r>
    <n v="1"/>
    <n v="3"/>
    <x v="0"/>
    <s v="RENDIDA"/>
    <s v="2018-04-06"/>
    <x v="1427"/>
    <x v="0"/>
    <x v="1"/>
    <n v="1"/>
    <n v="1"/>
  </r>
  <r>
    <n v="1"/>
    <n v="3"/>
    <x v="0"/>
    <s v="RENDIDA"/>
    <s v="2018-04-06"/>
    <x v="1428"/>
    <x v="0"/>
    <x v="1"/>
    <n v="1"/>
    <n v="1"/>
  </r>
  <r>
    <n v="1"/>
    <n v="3"/>
    <x v="0"/>
    <s v="RENDIDA"/>
    <s v="2018-04-06"/>
    <x v="1429"/>
    <x v="0"/>
    <x v="1"/>
    <n v="1"/>
    <n v="1"/>
  </r>
  <r>
    <n v="1"/>
    <n v="3"/>
    <x v="0"/>
    <s v="RENDIDA"/>
    <s v="2018-04-06"/>
    <x v="1430"/>
    <x v="0"/>
    <x v="1"/>
    <n v="1"/>
    <n v="1"/>
  </r>
  <r>
    <n v="1"/>
    <n v="3"/>
    <x v="0"/>
    <s v="RENDIDA"/>
    <s v="2018-04-06"/>
    <x v="1431"/>
    <x v="0"/>
    <x v="1"/>
    <n v="1"/>
    <n v="1"/>
  </r>
  <r>
    <n v="1"/>
    <n v="3"/>
    <x v="0"/>
    <s v="RENDIDA"/>
    <s v="2018-04-06"/>
    <x v="1432"/>
    <x v="0"/>
    <x v="1"/>
    <n v="1"/>
    <n v="1"/>
  </r>
  <r>
    <n v="1"/>
    <n v="3"/>
    <x v="0"/>
    <s v="RENDIDA"/>
    <s v="2018-04-06"/>
    <x v="1433"/>
    <x v="0"/>
    <x v="1"/>
    <n v="1"/>
    <n v="1"/>
  </r>
  <r>
    <n v="1"/>
    <n v="3"/>
    <x v="0"/>
    <s v="RENDIDA"/>
    <s v="2018-04-06"/>
    <x v="1434"/>
    <x v="0"/>
    <x v="1"/>
    <n v="1"/>
    <n v="1"/>
  </r>
  <r>
    <n v="1"/>
    <n v="3"/>
    <x v="0"/>
    <s v="RENDIDA"/>
    <s v="2018-04-06"/>
    <x v="1435"/>
    <x v="0"/>
    <x v="1"/>
    <n v="1"/>
    <n v="1"/>
  </r>
  <r>
    <n v="1"/>
    <n v="3"/>
    <x v="0"/>
    <s v="RENDIDA"/>
    <s v="2018-04-06"/>
    <x v="1436"/>
    <x v="0"/>
    <x v="1"/>
    <n v="1"/>
    <n v="1"/>
  </r>
  <r>
    <n v="1"/>
    <n v="3"/>
    <x v="0"/>
    <s v="RENDIDA"/>
    <s v="2018-04-06"/>
    <x v="1437"/>
    <x v="0"/>
    <x v="1"/>
    <n v="1"/>
    <n v="1"/>
  </r>
  <r>
    <n v="1"/>
    <n v="3"/>
    <x v="0"/>
    <s v="RENDIDA"/>
    <s v="2018-04-06"/>
    <x v="1438"/>
    <x v="0"/>
    <x v="1"/>
    <n v="1"/>
    <n v="1"/>
  </r>
  <r>
    <n v="1"/>
    <n v="3"/>
    <x v="0"/>
    <s v="RENDIDA"/>
    <s v="2018-04-06"/>
    <x v="1439"/>
    <x v="0"/>
    <x v="1"/>
    <n v="1"/>
    <n v="1"/>
  </r>
  <r>
    <n v="1"/>
    <n v="3"/>
    <x v="0"/>
    <s v="RENDIDA"/>
    <s v="2018-04-10"/>
    <x v="1440"/>
    <x v="0"/>
    <x v="1"/>
    <n v="1"/>
    <n v="1"/>
  </r>
  <r>
    <n v="1"/>
    <n v="3"/>
    <x v="0"/>
    <s v="RENDIDA"/>
    <s v="2018-04-10"/>
    <x v="1441"/>
    <x v="0"/>
    <x v="1"/>
    <n v="1"/>
    <n v="1"/>
  </r>
  <r>
    <n v="1"/>
    <n v="3"/>
    <x v="0"/>
    <s v="RENDIDA"/>
    <s v="2018-04-10"/>
    <x v="1442"/>
    <x v="0"/>
    <x v="1"/>
    <n v="1"/>
    <n v="1"/>
  </r>
  <r>
    <n v="1"/>
    <n v="3"/>
    <x v="0"/>
    <s v="RENDIDA"/>
    <s v="2018-04-10"/>
    <x v="1443"/>
    <x v="0"/>
    <x v="1"/>
    <n v="1"/>
    <n v="1"/>
  </r>
  <r>
    <n v="1"/>
    <n v="3"/>
    <x v="0"/>
    <s v="RENDIDA"/>
    <s v="2018-04-10"/>
    <x v="1444"/>
    <x v="0"/>
    <x v="1"/>
    <n v="1"/>
    <n v="1"/>
  </r>
  <r>
    <n v="1"/>
    <n v="3"/>
    <x v="0"/>
    <s v="RENDIDA"/>
    <s v="2018-04-10"/>
    <x v="1445"/>
    <x v="0"/>
    <x v="1"/>
    <n v="1"/>
    <n v="1"/>
  </r>
  <r>
    <n v="1"/>
    <n v="3"/>
    <x v="0"/>
    <s v="RENDIDA"/>
    <s v="2018-04-10"/>
    <x v="1446"/>
    <x v="0"/>
    <x v="1"/>
    <n v="1"/>
    <n v="1"/>
  </r>
  <r>
    <n v="1"/>
    <n v="3"/>
    <x v="0"/>
    <s v="RENDIDA"/>
    <s v="2018-04-10"/>
    <x v="1447"/>
    <x v="0"/>
    <x v="1"/>
    <n v="1"/>
    <n v="1"/>
  </r>
  <r>
    <n v="1"/>
    <n v="3"/>
    <x v="0"/>
    <s v="RENDIDA"/>
    <s v="2018-04-10"/>
    <x v="1448"/>
    <x v="0"/>
    <x v="1"/>
    <n v="1"/>
    <n v="1"/>
  </r>
  <r>
    <n v="1"/>
    <n v="3"/>
    <x v="0"/>
    <s v="RENDIDA"/>
    <s v="2018-04-10"/>
    <x v="1449"/>
    <x v="0"/>
    <x v="1"/>
    <n v="1"/>
    <n v="1"/>
  </r>
  <r>
    <n v="1"/>
    <n v="3"/>
    <x v="0"/>
    <s v="RENDIDA"/>
    <s v="2018-04-10"/>
    <x v="1450"/>
    <x v="0"/>
    <x v="1"/>
    <n v="1"/>
    <n v="1"/>
  </r>
  <r>
    <n v="1"/>
    <n v="3"/>
    <x v="0"/>
    <s v="RENDIDA"/>
    <s v="2018-04-10"/>
    <x v="1451"/>
    <x v="0"/>
    <x v="1"/>
    <n v="1"/>
    <n v="1"/>
  </r>
  <r>
    <n v="1"/>
    <n v="3"/>
    <x v="0"/>
    <s v="RENDIDA"/>
    <s v="2018-04-10"/>
    <x v="1452"/>
    <x v="0"/>
    <x v="1"/>
    <n v="1"/>
    <n v="1"/>
  </r>
  <r>
    <n v="1"/>
    <n v="3"/>
    <x v="0"/>
    <s v="RENDIDA"/>
    <s v="2018-04-10"/>
    <x v="1453"/>
    <x v="0"/>
    <x v="1"/>
    <n v="1"/>
    <n v="1"/>
  </r>
  <r>
    <n v="1"/>
    <n v="3"/>
    <x v="0"/>
    <s v="RENDIDA"/>
    <s v="2018-04-10"/>
    <x v="1454"/>
    <x v="0"/>
    <x v="1"/>
    <n v="1"/>
    <n v="1"/>
  </r>
  <r>
    <n v="1"/>
    <n v="3"/>
    <x v="0"/>
    <s v="RENDIDA"/>
    <s v="2018-04-10"/>
    <x v="1455"/>
    <x v="0"/>
    <x v="1"/>
    <n v="1"/>
    <n v="1"/>
  </r>
  <r>
    <n v="1"/>
    <n v="3"/>
    <x v="0"/>
    <s v="RENDIDA"/>
    <s v="2018-04-10"/>
    <x v="1456"/>
    <x v="0"/>
    <x v="1"/>
    <n v="1"/>
    <n v="1"/>
  </r>
  <r>
    <n v="1"/>
    <n v="3"/>
    <x v="0"/>
    <s v="RENDIDA"/>
    <s v="2018-04-12"/>
    <x v="1457"/>
    <x v="0"/>
    <x v="1"/>
    <n v="1"/>
    <n v="1"/>
  </r>
  <r>
    <n v="1"/>
    <n v="3"/>
    <x v="0"/>
    <s v="RENDIDA"/>
    <s v="2018-03-01"/>
    <x v="1458"/>
    <x v="0"/>
    <x v="0"/>
    <n v="1"/>
    <n v="1"/>
  </r>
  <r>
    <n v="1"/>
    <n v="3"/>
    <x v="0"/>
    <s v="RENDIDA"/>
    <s v="2018-03-01"/>
    <x v="1459"/>
    <x v="0"/>
    <x v="0"/>
    <n v="1"/>
    <n v="1"/>
  </r>
  <r>
    <n v="1"/>
    <n v="3"/>
    <x v="0"/>
    <s v="RENDIDA"/>
    <s v="2018-03-01"/>
    <x v="1460"/>
    <x v="0"/>
    <x v="0"/>
    <n v="1"/>
    <n v="1"/>
  </r>
  <r>
    <n v="1"/>
    <n v="3"/>
    <x v="0"/>
    <s v="RENDIDA"/>
    <s v="2018-03-01"/>
    <x v="1461"/>
    <x v="0"/>
    <x v="0"/>
    <n v="1"/>
    <n v="1"/>
  </r>
  <r>
    <n v="1"/>
    <n v="3"/>
    <x v="0"/>
    <s v="RENDIDA"/>
    <s v="2018-03-01"/>
    <x v="1462"/>
    <x v="0"/>
    <x v="0"/>
    <n v="1"/>
    <n v="1"/>
  </r>
  <r>
    <n v="1"/>
    <n v="3"/>
    <x v="0"/>
    <s v="RENDIDA"/>
    <s v="2018-03-01"/>
    <x v="1463"/>
    <x v="0"/>
    <x v="0"/>
    <n v="1"/>
    <n v="1"/>
  </r>
  <r>
    <n v="1"/>
    <n v="3"/>
    <x v="0"/>
    <s v="RENDIDA"/>
    <s v="2018-03-01"/>
    <x v="1464"/>
    <x v="0"/>
    <x v="0"/>
    <n v="1"/>
    <n v="1"/>
  </r>
  <r>
    <n v="1"/>
    <n v="3"/>
    <x v="0"/>
    <s v="RENDIDA"/>
    <s v="2018-03-01"/>
    <x v="1465"/>
    <x v="0"/>
    <x v="0"/>
    <n v="1"/>
    <n v="1"/>
  </r>
  <r>
    <n v="1"/>
    <n v="3"/>
    <x v="0"/>
    <s v="RENDIDA"/>
    <s v="2018-03-01"/>
    <x v="1466"/>
    <x v="0"/>
    <x v="0"/>
    <n v="1"/>
    <n v="1"/>
  </r>
  <r>
    <n v="1"/>
    <n v="3"/>
    <x v="0"/>
    <s v="RENDIDA"/>
    <s v="2018-03-02"/>
    <x v="1467"/>
    <x v="0"/>
    <x v="0"/>
    <n v="1"/>
    <n v="1"/>
  </r>
  <r>
    <n v="1"/>
    <n v="3"/>
    <x v="0"/>
    <s v="RENDIDA"/>
    <s v="2018-03-02"/>
    <x v="1468"/>
    <x v="0"/>
    <x v="0"/>
    <n v="1"/>
    <n v="1"/>
  </r>
  <r>
    <n v="1"/>
    <n v="3"/>
    <x v="0"/>
    <s v="RENDIDA"/>
    <s v="2018-03-02"/>
    <x v="1469"/>
    <x v="0"/>
    <x v="0"/>
    <n v="1"/>
    <n v="1"/>
  </r>
  <r>
    <n v="1"/>
    <n v="3"/>
    <x v="0"/>
    <s v="RENDIDA"/>
    <s v="2018-03-02"/>
    <x v="1470"/>
    <x v="0"/>
    <x v="0"/>
    <n v="1"/>
    <n v="1"/>
  </r>
  <r>
    <n v="1"/>
    <n v="3"/>
    <x v="0"/>
    <s v="RENDIDA"/>
    <s v="2018-03-02"/>
    <x v="1471"/>
    <x v="0"/>
    <x v="0"/>
    <n v="1"/>
    <n v="1"/>
  </r>
  <r>
    <n v="1"/>
    <n v="3"/>
    <x v="0"/>
    <s v="RENDIDA"/>
    <s v="2018-03-02"/>
    <x v="1472"/>
    <x v="0"/>
    <x v="0"/>
    <n v="1"/>
    <n v="1"/>
  </r>
  <r>
    <n v="1"/>
    <n v="3"/>
    <x v="0"/>
    <s v="RENDIDA"/>
    <s v="2018-03-02"/>
    <x v="1473"/>
    <x v="0"/>
    <x v="0"/>
    <n v="1"/>
    <n v="1"/>
  </r>
  <r>
    <n v="1"/>
    <n v="3"/>
    <x v="0"/>
    <s v="RENDIDA"/>
    <s v="2018-03-02"/>
    <x v="1474"/>
    <x v="0"/>
    <x v="0"/>
    <n v="1"/>
    <n v="1"/>
  </r>
  <r>
    <n v="1"/>
    <n v="3"/>
    <x v="0"/>
    <s v="RENDIDA"/>
    <s v="2018-03-02"/>
    <x v="1475"/>
    <x v="0"/>
    <x v="0"/>
    <n v="1"/>
    <n v="1"/>
  </r>
  <r>
    <n v="1"/>
    <n v="3"/>
    <x v="0"/>
    <s v="RENDIDA"/>
    <s v="2018-03-02"/>
    <x v="1476"/>
    <x v="0"/>
    <x v="0"/>
    <n v="1"/>
    <n v="1"/>
  </r>
  <r>
    <n v="1"/>
    <n v="3"/>
    <x v="0"/>
    <s v="RENDIDA"/>
    <s v="2018-03-02"/>
    <x v="1477"/>
    <x v="0"/>
    <x v="0"/>
    <n v="1"/>
    <n v="1"/>
  </r>
  <r>
    <n v="1"/>
    <n v="3"/>
    <x v="0"/>
    <s v="RENDIDA"/>
    <s v="2018-03-02"/>
    <x v="1478"/>
    <x v="0"/>
    <x v="0"/>
    <n v="1"/>
    <n v="1"/>
  </r>
  <r>
    <n v="1"/>
    <n v="3"/>
    <x v="0"/>
    <s v="RENDIDA"/>
    <s v="2018-03-02"/>
    <x v="1479"/>
    <x v="0"/>
    <x v="0"/>
    <n v="1"/>
    <n v="1"/>
  </r>
  <r>
    <n v="1"/>
    <n v="3"/>
    <x v="0"/>
    <s v="RENDIDA"/>
    <s v="2018-03-02"/>
    <x v="1480"/>
    <x v="0"/>
    <x v="0"/>
    <n v="1"/>
    <n v="1"/>
  </r>
  <r>
    <n v="1"/>
    <n v="3"/>
    <x v="0"/>
    <s v="RENDIDA"/>
    <s v="2018-03-02"/>
    <x v="1481"/>
    <x v="0"/>
    <x v="0"/>
    <n v="1"/>
    <n v="1"/>
  </r>
  <r>
    <n v="1"/>
    <n v="3"/>
    <x v="0"/>
    <s v="RENDIDA"/>
    <s v="2018-03-02"/>
    <x v="1482"/>
    <x v="0"/>
    <x v="0"/>
    <n v="1"/>
    <n v="1"/>
  </r>
  <r>
    <n v="1"/>
    <n v="3"/>
    <x v="0"/>
    <s v="RENDIDA"/>
    <s v="2018-03-02"/>
    <x v="1483"/>
    <x v="0"/>
    <x v="0"/>
    <n v="1"/>
    <n v="1"/>
  </r>
  <r>
    <n v="1"/>
    <n v="3"/>
    <x v="0"/>
    <s v="RENDIDA"/>
    <s v="2018-03-02"/>
    <x v="1484"/>
    <x v="0"/>
    <x v="0"/>
    <n v="1"/>
    <n v="1"/>
  </r>
  <r>
    <n v="1"/>
    <n v="3"/>
    <x v="0"/>
    <s v="RENDIDA"/>
    <s v="2018-03-02"/>
    <x v="1485"/>
    <x v="0"/>
    <x v="0"/>
    <n v="1"/>
    <n v="1"/>
  </r>
  <r>
    <n v="1"/>
    <n v="3"/>
    <x v="0"/>
    <s v="RENDIDA"/>
    <s v="2018-03-02"/>
    <x v="1486"/>
    <x v="0"/>
    <x v="0"/>
    <n v="1"/>
    <n v="1"/>
  </r>
  <r>
    <n v="1"/>
    <n v="3"/>
    <x v="0"/>
    <s v="RENDIDA"/>
    <s v="2018-03-02"/>
    <x v="1487"/>
    <x v="0"/>
    <x v="0"/>
    <n v="1"/>
    <n v="1"/>
  </r>
  <r>
    <n v="1"/>
    <n v="3"/>
    <x v="0"/>
    <s v="RENDIDA"/>
    <s v="2018-03-02"/>
    <x v="1488"/>
    <x v="0"/>
    <x v="0"/>
    <n v="1"/>
    <n v="1"/>
  </r>
  <r>
    <n v="1"/>
    <n v="3"/>
    <x v="0"/>
    <s v="RENDIDA"/>
    <s v="2018-03-06"/>
    <x v="1489"/>
    <x v="0"/>
    <x v="0"/>
    <n v="1"/>
    <n v="1"/>
  </r>
  <r>
    <n v="1"/>
    <n v="3"/>
    <x v="0"/>
    <s v="RENDIDA"/>
    <s v="2018-03-06"/>
    <x v="1490"/>
    <x v="0"/>
    <x v="0"/>
    <n v="1"/>
    <n v="1"/>
  </r>
  <r>
    <n v="1"/>
    <n v="3"/>
    <x v="0"/>
    <s v="RENDIDA"/>
    <s v="2018-03-06"/>
    <x v="1491"/>
    <x v="0"/>
    <x v="0"/>
    <n v="1"/>
    <n v="1"/>
  </r>
  <r>
    <n v="1"/>
    <n v="3"/>
    <x v="0"/>
    <s v="RENDIDA"/>
    <s v="2018-03-06"/>
    <x v="1492"/>
    <x v="0"/>
    <x v="0"/>
    <n v="1"/>
    <n v="1"/>
  </r>
  <r>
    <n v="1"/>
    <n v="3"/>
    <x v="0"/>
    <s v="RENDIDA"/>
    <s v="2018-03-06"/>
    <x v="1493"/>
    <x v="0"/>
    <x v="0"/>
    <n v="1"/>
    <n v="1"/>
  </r>
  <r>
    <n v="1"/>
    <n v="3"/>
    <x v="0"/>
    <s v="RENDIDA"/>
    <s v="2018-03-06"/>
    <x v="1494"/>
    <x v="0"/>
    <x v="0"/>
    <n v="1"/>
    <n v="1"/>
  </r>
  <r>
    <n v="1"/>
    <n v="3"/>
    <x v="0"/>
    <s v="RENDIDA"/>
    <s v="2018-03-06"/>
    <x v="1495"/>
    <x v="0"/>
    <x v="0"/>
    <n v="1"/>
    <n v="1"/>
  </r>
  <r>
    <n v="1"/>
    <n v="3"/>
    <x v="0"/>
    <s v="RENDIDA"/>
    <s v="2018-03-06"/>
    <x v="1496"/>
    <x v="0"/>
    <x v="0"/>
    <n v="1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3" cacheId="6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4" rowHeaderCaption="CLIENTES">
  <location ref="B24:E28" firstHeaderRow="0" firstDataRow="1" firstDataCol="1"/>
  <pivotFields count="11">
    <pivotField showAll="0"/>
    <pivotField showAll="0"/>
    <pivotField axis="axisRow" showAll="0" sortType="descending">
      <items count="4">
        <item sd="0" x="2"/>
        <item sd="0" x="1"/>
        <item sd="0" x="0"/>
        <item t="default" sd="0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showAll="0"/>
    <pivotField axis="axisRow" dataField="1" showAll="0">
      <items count="1498"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684"/>
        <item x="685"/>
        <item x="686"/>
        <item x="687"/>
        <item x="688"/>
        <item x="689"/>
        <item x="690"/>
        <item x="691"/>
        <item x="692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121"/>
        <item x="1122"/>
        <item x="1123"/>
        <item x="1124"/>
        <item x="1125"/>
        <item x="1126"/>
        <item x="1489"/>
        <item x="1490"/>
        <item x="1491"/>
        <item x="1492"/>
        <item x="1493"/>
        <item x="1494"/>
        <item x="1495"/>
        <item x="149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127"/>
        <item x="1128"/>
        <item x="1129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1130"/>
        <item x="37"/>
        <item x="38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1131"/>
        <item x="862"/>
        <item x="1132"/>
        <item x="1133"/>
        <item x="863"/>
        <item x="864"/>
        <item x="865"/>
        <item x="866"/>
        <item x="867"/>
        <item x="868"/>
        <item x="869"/>
        <item x="870"/>
        <item x="871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134"/>
        <item x="1135"/>
        <item x="1136"/>
        <item x="1137"/>
        <item x="1138"/>
        <item x="1139"/>
        <item x="1140"/>
        <item x="114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14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143"/>
        <item x="1144"/>
        <item x="1145"/>
        <item x="1146"/>
        <item x="1147"/>
        <item x="1148"/>
        <item x="1149"/>
        <item x="1150"/>
        <item x="1278"/>
        <item x="1279"/>
        <item x="1280"/>
        <item x="1281"/>
        <item x="1282"/>
        <item x="1283"/>
        <item x="1284"/>
        <item x="1285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1151"/>
        <item x="77"/>
        <item x="1333"/>
        <item x="1334"/>
        <item x="1335"/>
        <item x="1336"/>
        <item x="1337"/>
        <item x="1338"/>
        <item x="1339"/>
        <item x="1152"/>
        <item x="1153"/>
        <item x="1154"/>
        <item x="1155"/>
        <item x="1156"/>
        <item x="1157"/>
        <item x="1158"/>
        <item x="1159"/>
        <item x="1160"/>
        <item x="1161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78"/>
        <item x="1162"/>
        <item x="1163"/>
        <item x="1164"/>
        <item x="312"/>
        <item x="313"/>
        <item x="314"/>
        <item x="315"/>
        <item x="316"/>
        <item x="317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318"/>
        <item x="319"/>
        <item x="320"/>
        <item x="113"/>
        <item x="114"/>
        <item x="115"/>
        <item x="116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1457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956"/>
        <item x="957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346"/>
        <item x="347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348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349"/>
        <item x="350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95"/>
        <item x="196"/>
        <item x="197"/>
        <item x="198"/>
        <item x="199"/>
        <item x="200"/>
        <item x="351"/>
        <item x="352"/>
        <item x="353"/>
        <item x="354"/>
        <item x="1165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1166"/>
        <item x="1167"/>
        <item x="1168"/>
        <item x="1169"/>
        <item x="1170"/>
        <item x="1171"/>
        <item x="1172"/>
        <item x="1173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1174"/>
        <item x="1175"/>
        <item x="1176"/>
        <item x="230"/>
        <item x="231"/>
        <item x="232"/>
        <item x="23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177"/>
        <item x="1178"/>
        <item x="1179"/>
        <item x="1180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234"/>
        <item x="1181"/>
        <item x="1182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1183"/>
        <item x="1184"/>
        <item x="1185"/>
        <item x="1186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1187"/>
        <item x="1188"/>
        <item x="1189"/>
        <item x="1190"/>
        <item x="1191"/>
        <item x="266"/>
        <item x="267"/>
        <item x="268"/>
        <item x="269"/>
        <item x="270"/>
        <item x="271"/>
        <item x="272"/>
        <item x="1083"/>
        <item x="1084"/>
        <item x="1085"/>
        <item x="1086"/>
        <item x="1087"/>
        <item x="1088"/>
        <item x="1089"/>
        <item x="1090"/>
        <item x="1091"/>
        <item x="1192"/>
        <item x="1193"/>
        <item x="1194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95"/>
        <item x="1196"/>
        <item x="1197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98"/>
        <item x="1199"/>
        <item x="1120"/>
        <item x="273"/>
        <item x="274"/>
        <item x="275"/>
        <item x="1200"/>
        <item x="1201"/>
        <item x="1202"/>
        <item x="1203"/>
        <item x="1204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1205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1206"/>
        <item x="1207"/>
        <item x="1208"/>
        <item x="355"/>
        <item x="356"/>
        <item x="357"/>
        <item x="303"/>
        <item x="304"/>
        <item x="358"/>
        <item x="305"/>
        <item x="306"/>
        <item x="307"/>
        <item x="308"/>
        <item x="309"/>
        <item x="310"/>
        <item x="311"/>
        <item t="default"/>
      </items>
    </pivotField>
    <pivotField showAll="0">
      <items count="2">
        <item x="0"/>
        <item t="default"/>
      </items>
    </pivotField>
    <pivotField showAll="0">
      <items count="4">
        <item x="0"/>
        <item x="1"/>
        <item x="2"/>
        <item t="default"/>
      </items>
    </pivotField>
    <pivotField dataField="1" showAll="0"/>
    <pivotField showAll="0" defaultSubtotal="0"/>
    <pivotField dataField="1" dragToRow="0" dragToCol="0" dragToPage="0" showAll="0" defaultSubtotal="0"/>
  </pivotFields>
  <rowFields count="2">
    <field x="2"/>
    <field x="5"/>
  </rowFields>
  <rowItems count="4">
    <i>
      <x v="2"/>
    </i>
    <i>
      <x v="1"/>
    </i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TOTAL FACTURAS" fld="5" subtotal="count" baseField="2" baseItem="5" numFmtId="3"/>
    <dataField name="CANT RENDIDAS " fld="8" baseField="2" baseItem="5" numFmtId="3"/>
    <dataField name="PENDIENTES " fld="10" baseField="0" baseItem="0" numFmtId="3"/>
  </dataFields>
  <formats count="232">
    <format dxfId="231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1"/>
          </reference>
          <reference field="5" count="1">
            <x v="1076"/>
          </reference>
        </references>
      </pivotArea>
    </format>
    <format dxfId="230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1"/>
          </reference>
          <reference field="5" count="1">
            <x v="1158"/>
          </reference>
        </references>
      </pivotArea>
    </format>
    <format dxfId="229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2"/>
          </reference>
          <reference field="5" count="1">
            <x v="1190"/>
          </reference>
        </references>
      </pivotArea>
    </format>
    <format dxfId="228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0"/>
          </reference>
          <reference field="5" count="1">
            <x v="377"/>
          </reference>
        </references>
      </pivotArea>
    </format>
    <format dxfId="227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2"/>
          </reference>
          <reference field="5" count="1">
            <x v="766"/>
          </reference>
        </references>
      </pivotArea>
    </format>
    <format dxfId="226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2"/>
          </reference>
          <reference field="5" count="1">
            <x v="770"/>
          </reference>
        </references>
      </pivotArea>
    </format>
    <format dxfId="225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2"/>
          </reference>
          <reference field="5" count="1">
            <x v="784"/>
          </reference>
        </references>
      </pivotArea>
    </format>
    <format dxfId="224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2"/>
          </reference>
          <reference field="5" count="1">
            <x v="830"/>
          </reference>
        </references>
      </pivotArea>
    </format>
    <format dxfId="223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2"/>
          </reference>
          <reference field="5" count="1">
            <x v="860"/>
          </reference>
        </references>
      </pivotArea>
    </format>
    <format dxfId="222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2"/>
          </reference>
          <reference field="5" count="1">
            <x v="766"/>
          </reference>
        </references>
      </pivotArea>
    </format>
    <format dxfId="221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2"/>
          </reference>
          <reference field="5" count="1">
            <x v="770"/>
          </reference>
        </references>
      </pivotArea>
    </format>
    <format dxfId="220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2"/>
          </reference>
          <reference field="5" count="1">
            <x v="784"/>
          </reference>
        </references>
      </pivotArea>
    </format>
    <format dxfId="219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2"/>
          </reference>
          <reference field="5" count="1">
            <x v="830"/>
          </reference>
        </references>
      </pivotArea>
    </format>
    <format dxfId="218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2"/>
          </reference>
          <reference field="5" count="1">
            <x v="860"/>
          </reference>
        </references>
      </pivotArea>
    </format>
    <format dxfId="217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2"/>
          </reference>
          <reference field="5" count="1">
            <x v="766"/>
          </reference>
        </references>
      </pivotArea>
    </format>
    <format dxfId="216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2"/>
          </reference>
          <reference field="5" count="1">
            <x v="770"/>
          </reference>
        </references>
      </pivotArea>
    </format>
    <format dxfId="215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2"/>
          </reference>
          <reference field="5" count="1">
            <x v="784"/>
          </reference>
        </references>
      </pivotArea>
    </format>
    <format dxfId="214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2"/>
          </reference>
          <reference field="5" count="1">
            <x v="830"/>
          </reference>
        </references>
      </pivotArea>
    </format>
    <format dxfId="213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2"/>
          </reference>
          <reference field="5" count="1">
            <x v="860"/>
          </reference>
        </references>
      </pivotArea>
    </format>
    <format dxfId="212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2"/>
          </reference>
          <reference field="5" count="1">
            <x v="766"/>
          </reference>
        </references>
      </pivotArea>
    </format>
    <format dxfId="211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2"/>
          </reference>
          <reference field="5" count="1">
            <x v="770"/>
          </reference>
        </references>
      </pivotArea>
    </format>
    <format dxfId="210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2"/>
          </reference>
          <reference field="5" count="1">
            <x v="784"/>
          </reference>
        </references>
      </pivotArea>
    </format>
    <format dxfId="209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2"/>
          </reference>
          <reference field="5" count="1">
            <x v="830"/>
          </reference>
        </references>
      </pivotArea>
    </format>
    <format dxfId="208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2"/>
          </reference>
          <reference field="5" count="1">
            <x v="860"/>
          </reference>
        </references>
      </pivotArea>
    </format>
    <format dxfId="207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1"/>
          </reference>
          <reference field="5" count="1">
            <x v="1076"/>
          </reference>
        </references>
      </pivotArea>
    </format>
    <format dxfId="206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1"/>
          </reference>
          <reference field="5" count="1">
            <x v="1076"/>
          </reference>
        </references>
      </pivotArea>
    </format>
    <format dxfId="205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1"/>
          </reference>
          <reference field="5" count="1">
            <x v="1158"/>
          </reference>
        </references>
      </pivotArea>
    </format>
    <format dxfId="204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1"/>
          </reference>
          <reference field="5" count="1">
            <x v="1158"/>
          </reference>
        </references>
      </pivotArea>
    </format>
    <format dxfId="203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2"/>
          </reference>
          <reference field="5" count="1">
            <x v="1190"/>
          </reference>
        </references>
      </pivotArea>
    </format>
    <format dxfId="202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2"/>
          </reference>
          <reference field="5" count="1">
            <x v="1190"/>
          </reference>
        </references>
      </pivotArea>
    </format>
    <format dxfId="201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0"/>
          </reference>
          <reference field="5" count="1">
            <x v="377"/>
          </reference>
        </references>
      </pivotArea>
    </format>
    <format dxfId="200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0"/>
          </reference>
          <reference field="5" count="1">
            <x v="377"/>
          </reference>
        </references>
      </pivotArea>
    </format>
    <format dxfId="199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1"/>
          </reference>
          <reference field="5" count="1">
            <x v="1076"/>
          </reference>
        </references>
      </pivotArea>
    </format>
    <format dxfId="198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1"/>
          </reference>
          <reference field="5" count="1">
            <x v="1076"/>
          </reference>
        </references>
      </pivotArea>
    </format>
    <format dxfId="197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1"/>
          </reference>
          <reference field="5" count="1">
            <x v="1076"/>
          </reference>
        </references>
      </pivotArea>
    </format>
    <format dxfId="196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1"/>
          </reference>
          <reference field="5" count="1">
            <x v="1158"/>
          </reference>
        </references>
      </pivotArea>
    </format>
    <format dxfId="195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1"/>
          </reference>
          <reference field="5" count="1">
            <x v="1158"/>
          </reference>
        </references>
      </pivotArea>
    </format>
    <format dxfId="194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2"/>
          </reference>
          <reference field="5" count="1">
            <x v="1190"/>
          </reference>
        </references>
      </pivotArea>
    </format>
    <format dxfId="193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2"/>
          </reference>
          <reference field="5" count="1">
            <x v="1190"/>
          </reference>
        </references>
      </pivotArea>
    </format>
    <format dxfId="192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0"/>
          </reference>
          <reference field="5" count="1">
            <x v="377"/>
          </reference>
        </references>
      </pivotArea>
    </format>
    <format dxfId="191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0"/>
          </reference>
          <reference field="5" count="1">
            <x v="377"/>
          </reference>
        </references>
      </pivotArea>
    </format>
    <format dxfId="190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1"/>
          </reference>
          <reference field="5" count="1">
            <x v="1076"/>
          </reference>
        </references>
      </pivotArea>
    </format>
    <format dxfId="189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1"/>
          </reference>
          <reference field="5" count="1">
            <x v="1158"/>
          </reference>
        </references>
      </pivotArea>
    </format>
    <format dxfId="188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2"/>
          </reference>
          <reference field="5" count="1">
            <x v="1190"/>
          </reference>
        </references>
      </pivotArea>
    </format>
    <format dxfId="187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0"/>
          </reference>
          <reference field="5" count="1">
            <x v="377"/>
          </reference>
        </references>
      </pivotArea>
    </format>
    <format dxfId="186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1"/>
          </reference>
          <reference field="5" count="1">
            <x v="1076"/>
          </reference>
        </references>
      </pivotArea>
    </format>
    <format dxfId="185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1"/>
          </reference>
          <reference field="5" count="1">
            <x v="1158"/>
          </reference>
        </references>
      </pivotArea>
    </format>
    <format dxfId="184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2"/>
          </reference>
          <reference field="5" count="1">
            <x v="1190"/>
          </reference>
        </references>
      </pivotArea>
    </format>
    <format dxfId="183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0"/>
          </reference>
          <reference field="5" count="1">
            <x v="377"/>
          </reference>
        </references>
      </pivotArea>
    </format>
    <format dxfId="182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1"/>
          </reference>
          <reference field="5" count="1">
            <x v="1076"/>
          </reference>
        </references>
      </pivotArea>
    </format>
    <format dxfId="181">
      <pivotArea collapsedLevelsAreSubtotals="1" fieldPosition="0">
        <references count="3">
          <reference field="4294967294" count="1" selected="0">
            <x v="2"/>
          </reference>
          <reference field="2" count="1" selected="0">
            <x v="1"/>
          </reference>
          <reference field="5" count="1">
            <x v="1076"/>
          </reference>
        </references>
      </pivotArea>
    </format>
    <format dxfId="180">
      <pivotArea collapsedLevelsAreSubtotals="1" fieldPosition="0">
        <references count="3">
          <reference field="4294967294" count="1" selected="0">
            <x v="2"/>
          </reference>
          <reference field="2" count="1" selected="0">
            <x v="1"/>
          </reference>
          <reference field="5" count="1">
            <x v="1076"/>
          </reference>
        </references>
      </pivotArea>
    </format>
    <format dxfId="179">
      <pivotArea collapsedLevelsAreSubtotals="1" fieldPosition="0">
        <references count="3">
          <reference field="4294967294" count="1" selected="0">
            <x v="2"/>
          </reference>
          <reference field="2" count="1" selected="0">
            <x v="1"/>
          </reference>
          <reference field="5" count="1">
            <x v="1076"/>
          </reference>
        </references>
      </pivotArea>
    </format>
    <format dxfId="178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1"/>
          </reference>
          <reference field="5" count="1">
            <x v="1158"/>
          </reference>
        </references>
      </pivotArea>
    </format>
    <format dxfId="177">
      <pivotArea collapsedLevelsAreSubtotals="1" fieldPosition="0">
        <references count="3">
          <reference field="4294967294" count="1" selected="0">
            <x v="2"/>
          </reference>
          <reference field="2" count="1" selected="0">
            <x v="1"/>
          </reference>
          <reference field="5" count="1">
            <x v="1158"/>
          </reference>
        </references>
      </pivotArea>
    </format>
    <format dxfId="176">
      <pivotArea collapsedLevelsAreSubtotals="1" fieldPosition="0">
        <references count="3">
          <reference field="4294967294" count="1" selected="0">
            <x v="2"/>
          </reference>
          <reference field="2" count="1" selected="0">
            <x v="1"/>
          </reference>
          <reference field="5" count="1">
            <x v="1158"/>
          </reference>
        </references>
      </pivotArea>
    </format>
    <format dxfId="175">
      <pivotArea collapsedLevelsAreSubtotals="1" fieldPosition="0">
        <references count="3">
          <reference field="4294967294" count="1" selected="0">
            <x v="2"/>
          </reference>
          <reference field="2" count="1" selected="0">
            <x v="1"/>
          </reference>
          <reference field="5" count="1">
            <x v="1158"/>
          </reference>
        </references>
      </pivotArea>
    </format>
    <format dxfId="174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2"/>
          </reference>
          <reference field="5" count="1">
            <x v="1190"/>
          </reference>
        </references>
      </pivotArea>
    </format>
    <format dxfId="173">
      <pivotArea collapsedLevelsAreSubtotals="1" fieldPosition="0">
        <references count="3">
          <reference field="4294967294" count="1" selected="0">
            <x v="2"/>
          </reference>
          <reference field="2" count="1" selected="0">
            <x v="2"/>
          </reference>
          <reference field="5" count="1">
            <x v="1190"/>
          </reference>
        </references>
      </pivotArea>
    </format>
    <format dxfId="172">
      <pivotArea collapsedLevelsAreSubtotals="1" fieldPosition="0">
        <references count="3">
          <reference field="4294967294" count="1" selected="0">
            <x v="2"/>
          </reference>
          <reference field="2" count="1" selected="0">
            <x v="2"/>
          </reference>
          <reference field="5" count="1">
            <x v="1190"/>
          </reference>
        </references>
      </pivotArea>
    </format>
    <format dxfId="171">
      <pivotArea collapsedLevelsAreSubtotals="1" fieldPosition="0">
        <references count="3">
          <reference field="4294967294" count="1" selected="0">
            <x v="2"/>
          </reference>
          <reference field="2" count="1" selected="0">
            <x v="2"/>
          </reference>
          <reference field="5" count="1">
            <x v="1190"/>
          </reference>
        </references>
      </pivotArea>
    </format>
    <format dxfId="170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0"/>
          </reference>
          <reference field="5" count="1">
            <x v="377"/>
          </reference>
        </references>
      </pivotArea>
    </format>
    <format dxfId="169">
      <pivotArea collapsedLevelsAreSubtotals="1" fieldPosition="0">
        <references count="3">
          <reference field="4294967294" count="1" selected="0">
            <x v="2"/>
          </reference>
          <reference field="2" count="1" selected="0">
            <x v="0"/>
          </reference>
          <reference field="5" count="1">
            <x v="377"/>
          </reference>
        </references>
      </pivotArea>
    </format>
    <format dxfId="168">
      <pivotArea collapsedLevelsAreSubtotals="1" fieldPosition="0">
        <references count="3">
          <reference field="4294967294" count="1" selected="0">
            <x v="2"/>
          </reference>
          <reference field="2" count="1" selected="0">
            <x v="0"/>
          </reference>
          <reference field="5" count="1">
            <x v="377"/>
          </reference>
        </references>
      </pivotArea>
    </format>
    <format dxfId="167">
      <pivotArea collapsedLevelsAreSubtotals="1" fieldPosition="0">
        <references count="3">
          <reference field="4294967294" count="1" selected="0">
            <x v="2"/>
          </reference>
          <reference field="2" count="1" selected="0">
            <x v="0"/>
          </reference>
          <reference field="5" count="1">
            <x v="377"/>
          </reference>
        </references>
      </pivotArea>
    </format>
    <format dxfId="166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1"/>
          </reference>
          <reference field="5" count="1">
            <x v="1076"/>
          </reference>
        </references>
      </pivotArea>
    </format>
    <format dxfId="165">
      <pivotArea collapsedLevelsAreSubtotals="1" fieldPosition="0">
        <references count="3">
          <reference field="4294967294" count="1" selected="0">
            <x v="2"/>
          </reference>
          <reference field="2" count="1" selected="0">
            <x v="1"/>
          </reference>
          <reference field="5" count="1">
            <x v="1076"/>
          </reference>
        </references>
      </pivotArea>
    </format>
    <format dxfId="164">
      <pivotArea dataOnly="0" labelOnly="1" fieldPosition="0">
        <references count="2">
          <reference field="2" count="1" selected="0">
            <x v="1"/>
          </reference>
          <reference field="5" count="1">
            <x v="1076"/>
          </reference>
        </references>
      </pivotArea>
    </format>
    <format dxfId="163">
      <pivotArea dataOnly="0" labelOnly="1" fieldPosition="0">
        <references count="2">
          <reference field="2" count="1" selected="0">
            <x v="1"/>
          </reference>
          <reference field="5" count="1">
            <x v="1076"/>
          </reference>
        </references>
      </pivotArea>
    </format>
    <format dxfId="162">
      <pivotArea dataOnly="0" labelOnly="1" fieldPosition="0">
        <references count="2">
          <reference field="2" count="1" selected="0">
            <x v="1"/>
          </reference>
          <reference field="5" count="1">
            <x v="1076"/>
          </reference>
        </references>
      </pivotArea>
    </format>
    <format dxfId="161">
      <pivotArea collapsedLevelsAreSubtotals="1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5" count="1">
            <x v="1076"/>
          </reference>
        </references>
      </pivotArea>
    </format>
    <format dxfId="160">
      <pivotArea collapsedLevelsAreSubtotals="1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5" count="1">
            <x v="1076"/>
          </reference>
        </references>
      </pivotArea>
    </format>
    <format dxfId="159">
      <pivotArea collapsedLevelsAreSubtotals="1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5" count="1">
            <x v="1076"/>
          </reference>
        </references>
      </pivotArea>
    </format>
    <format dxfId="158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1"/>
          </reference>
          <reference field="5" count="1">
            <x v="1158"/>
          </reference>
        </references>
      </pivotArea>
    </format>
    <format dxfId="157">
      <pivotArea collapsedLevelsAreSubtotals="1" fieldPosition="0">
        <references count="3">
          <reference field="4294967294" count="1" selected="0">
            <x v="2"/>
          </reference>
          <reference field="2" count="1" selected="0">
            <x v="1"/>
          </reference>
          <reference field="5" count="1">
            <x v="1158"/>
          </reference>
        </references>
      </pivotArea>
    </format>
    <format dxfId="156">
      <pivotArea dataOnly="0" labelOnly="1" fieldPosition="0">
        <references count="2">
          <reference field="2" count="1" selected="0">
            <x v="1"/>
          </reference>
          <reference field="5" count="1">
            <x v="1158"/>
          </reference>
        </references>
      </pivotArea>
    </format>
    <format dxfId="155">
      <pivotArea dataOnly="0" labelOnly="1" fieldPosition="0">
        <references count="2">
          <reference field="2" count="1" selected="0">
            <x v="1"/>
          </reference>
          <reference field="5" count="1">
            <x v="1158"/>
          </reference>
        </references>
      </pivotArea>
    </format>
    <format dxfId="154">
      <pivotArea dataOnly="0" labelOnly="1" fieldPosition="0">
        <references count="2">
          <reference field="2" count="1" selected="0">
            <x v="1"/>
          </reference>
          <reference field="5" count="1">
            <x v="1158"/>
          </reference>
        </references>
      </pivotArea>
    </format>
    <format dxfId="153">
      <pivotArea collapsedLevelsAreSubtotals="1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5" count="1">
            <x v="1158"/>
          </reference>
        </references>
      </pivotArea>
    </format>
    <format dxfId="152">
      <pivotArea collapsedLevelsAreSubtotals="1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5" count="1">
            <x v="1158"/>
          </reference>
        </references>
      </pivotArea>
    </format>
    <format dxfId="151">
      <pivotArea collapsedLevelsAreSubtotals="1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5" count="1">
            <x v="1158"/>
          </reference>
        </references>
      </pivotArea>
    </format>
    <format dxfId="150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2"/>
          </reference>
          <reference field="5" count="1">
            <x v="1190"/>
          </reference>
        </references>
      </pivotArea>
    </format>
    <format dxfId="149">
      <pivotArea collapsedLevelsAreSubtotals="1" fieldPosition="0">
        <references count="3">
          <reference field="4294967294" count="1" selected="0">
            <x v="2"/>
          </reference>
          <reference field="2" count="1" selected="0">
            <x v="2"/>
          </reference>
          <reference field="5" count="1">
            <x v="1190"/>
          </reference>
        </references>
      </pivotArea>
    </format>
    <format dxfId="148">
      <pivotArea dataOnly="0" labelOnly="1" fieldPosition="0">
        <references count="2">
          <reference field="2" count="1" selected="0">
            <x v="2"/>
          </reference>
          <reference field="5" count="1">
            <x v="1190"/>
          </reference>
        </references>
      </pivotArea>
    </format>
    <format dxfId="147">
      <pivotArea dataOnly="0" labelOnly="1" fieldPosition="0">
        <references count="2">
          <reference field="2" count="1" selected="0">
            <x v="2"/>
          </reference>
          <reference field="5" count="1">
            <x v="1190"/>
          </reference>
        </references>
      </pivotArea>
    </format>
    <format dxfId="146">
      <pivotArea dataOnly="0" labelOnly="1" fieldPosition="0">
        <references count="2">
          <reference field="2" count="1" selected="0">
            <x v="2"/>
          </reference>
          <reference field="5" count="1">
            <x v="1190"/>
          </reference>
        </references>
      </pivotArea>
    </format>
    <format dxfId="145">
      <pivotArea collapsedLevelsAreSubtotals="1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5" count="1">
            <x v="1190"/>
          </reference>
        </references>
      </pivotArea>
    </format>
    <format dxfId="144">
      <pivotArea collapsedLevelsAreSubtotals="1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5" count="1">
            <x v="1190"/>
          </reference>
        </references>
      </pivotArea>
    </format>
    <format dxfId="143">
      <pivotArea collapsedLevelsAreSubtotals="1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5" count="1">
            <x v="1190"/>
          </reference>
        </references>
      </pivotArea>
    </format>
    <format dxfId="142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0"/>
          </reference>
          <reference field="5" count="1">
            <x v="377"/>
          </reference>
        </references>
      </pivotArea>
    </format>
    <format dxfId="141">
      <pivotArea collapsedLevelsAreSubtotals="1" fieldPosition="0">
        <references count="3">
          <reference field="4294967294" count="1" selected="0">
            <x v="2"/>
          </reference>
          <reference field="2" count="1" selected="0">
            <x v="0"/>
          </reference>
          <reference field="5" count="1">
            <x v="377"/>
          </reference>
        </references>
      </pivotArea>
    </format>
    <format dxfId="140">
      <pivotArea dataOnly="0" labelOnly="1" fieldPosition="0">
        <references count="2">
          <reference field="2" count="1" selected="0">
            <x v="0"/>
          </reference>
          <reference field="5" count="1">
            <x v="377"/>
          </reference>
        </references>
      </pivotArea>
    </format>
    <format dxfId="139">
      <pivotArea dataOnly="0" labelOnly="1" fieldPosition="0">
        <references count="2">
          <reference field="2" count="1" selected="0">
            <x v="0"/>
          </reference>
          <reference field="5" count="1">
            <x v="377"/>
          </reference>
        </references>
      </pivotArea>
    </format>
    <format dxfId="138">
      <pivotArea dataOnly="0" labelOnly="1" fieldPosition="0">
        <references count="2">
          <reference field="2" count="1" selected="0">
            <x v="0"/>
          </reference>
          <reference field="5" count="1">
            <x v="377"/>
          </reference>
        </references>
      </pivotArea>
    </format>
    <format dxfId="137">
      <pivotArea collapsedLevelsAreSubtotals="1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5" count="1">
            <x v="377"/>
          </reference>
        </references>
      </pivotArea>
    </format>
    <format dxfId="136">
      <pivotArea collapsedLevelsAreSubtotals="1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5" count="1">
            <x v="377"/>
          </reference>
        </references>
      </pivotArea>
    </format>
    <format dxfId="135">
      <pivotArea collapsedLevelsAreSubtotals="1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5" count="1">
            <x v="377"/>
          </reference>
        </references>
      </pivotArea>
    </format>
    <format dxfId="134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2"/>
          </reference>
          <reference field="5" count="1">
            <x v="766"/>
          </reference>
        </references>
      </pivotArea>
    </format>
    <format dxfId="133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2"/>
          </reference>
          <reference field="5" count="1">
            <x v="766"/>
          </reference>
        </references>
      </pivotArea>
    </format>
    <format dxfId="132">
      <pivotArea collapsedLevelsAreSubtotals="1" fieldPosition="0">
        <references count="3">
          <reference field="4294967294" count="1" selected="0">
            <x v="2"/>
          </reference>
          <reference field="2" count="1" selected="0">
            <x v="2"/>
          </reference>
          <reference field="5" count="1">
            <x v="766"/>
          </reference>
        </references>
      </pivotArea>
    </format>
    <format dxfId="131">
      <pivotArea collapsedLevelsAreSubtotals="1" fieldPosition="0">
        <references count="3">
          <reference field="4294967294" count="1" selected="0">
            <x v="2"/>
          </reference>
          <reference field="2" count="1" selected="0">
            <x v="2"/>
          </reference>
          <reference field="5" count="1">
            <x v="766"/>
          </reference>
        </references>
      </pivotArea>
    </format>
    <format dxfId="130">
      <pivotArea collapsedLevelsAreSubtotals="1" fieldPosition="0">
        <references count="3">
          <reference field="4294967294" count="1" selected="0">
            <x v="2"/>
          </reference>
          <reference field="2" count="1" selected="0">
            <x v="2"/>
          </reference>
          <reference field="5" count="1">
            <x v="766"/>
          </reference>
        </references>
      </pivotArea>
    </format>
    <format dxfId="129">
      <pivotArea dataOnly="0" labelOnly="1" fieldPosition="0">
        <references count="2">
          <reference field="2" count="1" selected="0">
            <x v="2"/>
          </reference>
          <reference field="5" count="1">
            <x v="766"/>
          </reference>
        </references>
      </pivotArea>
    </format>
    <format dxfId="128">
      <pivotArea dataOnly="0" labelOnly="1" fieldPosition="0">
        <references count="2">
          <reference field="2" count="1" selected="0">
            <x v="2"/>
          </reference>
          <reference field="5" count="1">
            <x v="766"/>
          </reference>
        </references>
      </pivotArea>
    </format>
    <format dxfId="127">
      <pivotArea dataOnly="0" labelOnly="1" fieldPosition="0">
        <references count="2">
          <reference field="2" count="1" selected="0">
            <x v="2"/>
          </reference>
          <reference field="5" count="1">
            <x v="766"/>
          </reference>
        </references>
      </pivotArea>
    </format>
    <format dxfId="126">
      <pivotArea collapsedLevelsAreSubtotals="1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5" count="1">
            <x v="766"/>
          </reference>
        </references>
      </pivotArea>
    </format>
    <format dxfId="125">
      <pivotArea collapsedLevelsAreSubtotals="1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5" count="1">
            <x v="766"/>
          </reference>
        </references>
      </pivotArea>
    </format>
    <format dxfId="124">
      <pivotArea collapsedLevelsAreSubtotals="1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5" count="1">
            <x v="766"/>
          </reference>
        </references>
      </pivotArea>
    </format>
    <format dxfId="123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2"/>
          </reference>
          <reference field="5" count="1">
            <x v="770"/>
          </reference>
        </references>
      </pivotArea>
    </format>
    <format dxfId="122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2"/>
          </reference>
          <reference field="5" count="1">
            <x v="770"/>
          </reference>
        </references>
      </pivotArea>
    </format>
    <format dxfId="121">
      <pivotArea collapsedLevelsAreSubtotals="1" fieldPosition="0">
        <references count="3">
          <reference field="4294967294" count="1" selected="0">
            <x v="2"/>
          </reference>
          <reference field="2" count="1" selected="0">
            <x v="2"/>
          </reference>
          <reference field="5" count="1">
            <x v="770"/>
          </reference>
        </references>
      </pivotArea>
    </format>
    <format dxfId="120">
      <pivotArea collapsedLevelsAreSubtotals="1" fieldPosition="0">
        <references count="3">
          <reference field="4294967294" count="1" selected="0">
            <x v="2"/>
          </reference>
          <reference field="2" count="1" selected="0">
            <x v="2"/>
          </reference>
          <reference field="5" count="1">
            <x v="770"/>
          </reference>
        </references>
      </pivotArea>
    </format>
    <format dxfId="119">
      <pivotArea collapsedLevelsAreSubtotals="1" fieldPosition="0">
        <references count="3">
          <reference field="4294967294" count="1" selected="0">
            <x v="2"/>
          </reference>
          <reference field="2" count="1" selected="0">
            <x v="2"/>
          </reference>
          <reference field="5" count="1">
            <x v="770"/>
          </reference>
        </references>
      </pivotArea>
    </format>
    <format dxfId="118">
      <pivotArea dataOnly="0" labelOnly="1" fieldPosition="0">
        <references count="2">
          <reference field="2" count="1" selected="0">
            <x v="2"/>
          </reference>
          <reference field="5" count="1">
            <x v="770"/>
          </reference>
        </references>
      </pivotArea>
    </format>
    <format dxfId="117">
      <pivotArea dataOnly="0" labelOnly="1" fieldPosition="0">
        <references count="2">
          <reference field="2" count="1" selected="0">
            <x v="2"/>
          </reference>
          <reference field="5" count="1">
            <x v="770"/>
          </reference>
        </references>
      </pivotArea>
    </format>
    <format dxfId="116">
      <pivotArea dataOnly="0" labelOnly="1" fieldPosition="0">
        <references count="2">
          <reference field="2" count="1" selected="0">
            <x v="2"/>
          </reference>
          <reference field="5" count="1">
            <x v="770"/>
          </reference>
        </references>
      </pivotArea>
    </format>
    <format dxfId="115">
      <pivotArea collapsedLevelsAreSubtotals="1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5" count="1">
            <x v="770"/>
          </reference>
        </references>
      </pivotArea>
    </format>
    <format dxfId="114">
      <pivotArea collapsedLevelsAreSubtotals="1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5" count="1">
            <x v="770"/>
          </reference>
        </references>
      </pivotArea>
    </format>
    <format dxfId="113">
      <pivotArea collapsedLevelsAreSubtotals="1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5" count="1">
            <x v="770"/>
          </reference>
        </references>
      </pivotArea>
    </format>
    <format dxfId="112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2"/>
          </reference>
          <reference field="5" count="1">
            <x v="784"/>
          </reference>
        </references>
      </pivotArea>
    </format>
    <format dxfId="111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2"/>
          </reference>
          <reference field="5" count="1">
            <x v="784"/>
          </reference>
        </references>
      </pivotArea>
    </format>
    <format dxfId="110">
      <pivotArea collapsedLevelsAreSubtotals="1" fieldPosition="0">
        <references count="3">
          <reference field="4294967294" count="1" selected="0">
            <x v="2"/>
          </reference>
          <reference field="2" count="1" selected="0">
            <x v="2"/>
          </reference>
          <reference field="5" count="1">
            <x v="784"/>
          </reference>
        </references>
      </pivotArea>
    </format>
    <format dxfId="109">
      <pivotArea collapsedLevelsAreSubtotals="1" fieldPosition="0">
        <references count="3">
          <reference field="4294967294" count="1" selected="0">
            <x v="2"/>
          </reference>
          <reference field="2" count="1" selected="0">
            <x v="2"/>
          </reference>
          <reference field="5" count="1">
            <x v="784"/>
          </reference>
        </references>
      </pivotArea>
    </format>
    <format dxfId="108">
      <pivotArea collapsedLevelsAreSubtotals="1" fieldPosition="0">
        <references count="3">
          <reference field="4294967294" count="1" selected="0">
            <x v="2"/>
          </reference>
          <reference field="2" count="1" selected="0">
            <x v="2"/>
          </reference>
          <reference field="5" count="1">
            <x v="784"/>
          </reference>
        </references>
      </pivotArea>
    </format>
    <format dxfId="107">
      <pivotArea dataOnly="0" labelOnly="1" fieldPosition="0">
        <references count="2">
          <reference field="2" count="1" selected="0">
            <x v="2"/>
          </reference>
          <reference field="5" count="1">
            <x v="784"/>
          </reference>
        </references>
      </pivotArea>
    </format>
    <format dxfId="106">
      <pivotArea dataOnly="0" labelOnly="1" fieldPosition="0">
        <references count="2">
          <reference field="2" count="1" selected="0">
            <x v="2"/>
          </reference>
          <reference field="5" count="1">
            <x v="784"/>
          </reference>
        </references>
      </pivotArea>
    </format>
    <format dxfId="105">
      <pivotArea dataOnly="0" labelOnly="1" fieldPosition="0">
        <references count="2">
          <reference field="2" count="1" selected="0">
            <x v="2"/>
          </reference>
          <reference field="5" count="1">
            <x v="784"/>
          </reference>
        </references>
      </pivotArea>
    </format>
    <format dxfId="104">
      <pivotArea collapsedLevelsAreSubtotals="1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5" count="1">
            <x v="784"/>
          </reference>
        </references>
      </pivotArea>
    </format>
    <format dxfId="103">
      <pivotArea collapsedLevelsAreSubtotals="1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5" count="1">
            <x v="784"/>
          </reference>
        </references>
      </pivotArea>
    </format>
    <format dxfId="102">
      <pivotArea collapsedLevelsAreSubtotals="1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5" count="1">
            <x v="784"/>
          </reference>
        </references>
      </pivotArea>
    </format>
    <format dxfId="101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2"/>
          </reference>
          <reference field="5" count="1">
            <x v="830"/>
          </reference>
        </references>
      </pivotArea>
    </format>
    <format dxfId="100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2"/>
          </reference>
          <reference field="5" count="1">
            <x v="830"/>
          </reference>
        </references>
      </pivotArea>
    </format>
    <format dxfId="99">
      <pivotArea collapsedLevelsAreSubtotals="1" fieldPosition="0">
        <references count="3">
          <reference field="4294967294" count="1" selected="0">
            <x v="2"/>
          </reference>
          <reference field="2" count="1" selected="0">
            <x v="2"/>
          </reference>
          <reference field="5" count="1">
            <x v="830"/>
          </reference>
        </references>
      </pivotArea>
    </format>
    <format dxfId="98">
      <pivotArea collapsedLevelsAreSubtotals="1" fieldPosition="0">
        <references count="3">
          <reference field="4294967294" count="1" selected="0">
            <x v="2"/>
          </reference>
          <reference field="2" count="1" selected="0">
            <x v="2"/>
          </reference>
          <reference field="5" count="1">
            <x v="830"/>
          </reference>
        </references>
      </pivotArea>
    </format>
    <format dxfId="97">
      <pivotArea collapsedLevelsAreSubtotals="1" fieldPosition="0">
        <references count="3">
          <reference field="4294967294" count="1" selected="0">
            <x v="2"/>
          </reference>
          <reference field="2" count="1" selected="0">
            <x v="2"/>
          </reference>
          <reference field="5" count="1">
            <x v="830"/>
          </reference>
        </references>
      </pivotArea>
    </format>
    <format dxfId="96">
      <pivotArea dataOnly="0" labelOnly="1" fieldPosition="0">
        <references count="2">
          <reference field="2" count="1" selected="0">
            <x v="2"/>
          </reference>
          <reference field="5" count="1">
            <x v="830"/>
          </reference>
        </references>
      </pivotArea>
    </format>
    <format dxfId="95">
      <pivotArea dataOnly="0" labelOnly="1" fieldPosition="0">
        <references count="2">
          <reference field="2" count="1" selected="0">
            <x v="2"/>
          </reference>
          <reference field="5" count="1">
            <x v="830"/>
          </reference>
        </references>
      </pivotArea>
    </format>
    <format dxfId="94">
      <pivotArea dataOnly="0" labelOnly="1" fieldPosition="0">
        <references count="2">
          <reference field="2" count="1" selected="0">
            <x v="2"/>
          </reference>
          <reference field="5" count="1">
            <x v="830"/>
          </reference>
        </references>
      </pivotArea>
    </format>
    <format dxfId="93">
      <pivotArea collapsedLevelsAreSubtotals="1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5" count="1">
            <x v="830"/>
          </reference>
        </references>
      </pivotArea>
    </format>
    <format dxfId="92">
      <pivotArea collapsedLevelsAreSubtotals="1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5" count="1">
            <x v="830"/>
          </reference>
        </references>
      </pivotArea>
    </format>
    <format dxfId="91">
      <pivotArea collapsedLevelsAreSubtotals="1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5" count="1">
            <x v="830"/>
          </reference>
        </references>
      </pivotArea>
    </format>
    <format dxfId="90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2"/>
          </reference>
          <reference field="5" count="1">
            <x v="860"/>
          </reference>
        </references>
      </pivotArea>
    </format>
    <format dxfId="89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2"/>
          </reference>
          <reference field="5" count="1">
            <x v="860"/>
          </reference>
        </references>
      </pivotArea>
    </format>
    <format dxfId="88">
      <pivotArea collapsedLevelsAreSubtotals="1" fieldPosition="0">
        <references count="3">
          <reference field="4294967294" count="1" selected="0">
            <x v="2"/>
          </reference>
          <reference field="2" count="1" selected="0">
            <x v="2"/>
          </reference>
          <reference field="5" count="1">
            <x v="860"/>
          </reference>
        </references>
      </pivotArea>
    </format>
    <format dxfId="87">
      <pivotArea collapsedLevelsAreSubtotals="1" fieldPosition="0">
        <references count="3">
          <reference field="4294967294" count="1" selected="0">
            <x v="2"/>
          </reference>
          <reference field="2" count="1" selected="0">
            <x v="2"/>
          </reference>
          <reference field="5" count="1">
            <x v="860"/>
          </reference>
        </references>
      </pivotArea>
    </format>
    <format dxfId="86">
      <pivotArea collapsedLevelsAreSubtotals="1" fieldPosition="0">
        <references count="3">
          <reference field="4294967294" count="1" selected="0">
            <x v="2"/>
          </reference>
          <reference field="2" count="1" selected="0">
            <x v="2"/>
          </reference>
          <reference field="5" count="1">
            <x v="860"/>
          </reference>
        </references>
      </pivotArea>
    </format>
    <format dxfId="85">
      <pivotArea dataOnly="0" labelOnly="1" fieldPosition="0">
        <references count="2">
          <reference field="2" count="1" selected="0">
            <x v="2"/>
          </reference>
          <reference field="5" count="1">
            <x v="860"/>
          </reference>
        </references>
      </pivotArea>
    </format>
    <format dxfId="84">
      <pivotArea dataOnly="0" labelOnly="1" fieldPosition="0">
        <references count="2">
          <reference field="2" count="1" selected="0">
            <x v="2"/>
          </reference>
          <reference field="5" count="1">
            <x v="860"/>
          </reference>
        </references>
      </pivotArea>
    </format>
    <format dxfId="83">
      <pivotArea dataOnly="0" labelOnly="1" fieldPosition="0">
        <references count="2">
          <reference field="2" count="1" selected="0">
            <x v="2"/>
          </reference>
          <reference field="5" count="1">
            <x v="860"/>
          </reference>
        </references>
      </pivotArea>
    </format>
    <format dxfId="82">
      <pivotArea collapsedLevelsAreSubtotals="1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5" count="1">
            <x v="860"/>
          </reference>
        </references>
      </pivotArea>
    </format>
    <format dxfId="81">
      <pivotArea collapsedLevelsAreSubtotals="1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5" count="1">
            <x v="860"/>
          </reference>
        </references>
      </pivotArea>
    </format>
    <format dxfId="80">
      <pivotArea collapsedLevelsAreSubtotals="1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5" count="1">
            <x v="860"/>
          </reference>
        </references>
      </pivotArea>
    </format>
    <format dxfId="79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2"/>
          </reference>
          <reference field="5" count="1">
            <x v="766"/>
          </reference>
        </references>
      </pivotArea>
    </format>
    <format dxfId="78">
      <pivotArea collapsedLevelsAreSubtotals="1" fieldPosition="0">
        <references count="3">
          <reference field="4294967294" count="1" selected="0">
            <x v="2"/>
          </reference>
          <reference field="2" count="1" selected="0">
            <x v="2"/>
          </reference>
          <reference field="5" count="1">
            <x v="766"/>
          </reference>
        </references>
      </pivotArea>
    </format>
    <format dxfId="77">
      <pivotArea dataOnly="0" labelOnly="1" fieldPosition="0">
        <references count="2">
          <reference field="2" count="1" selected="0">
            <x v="2"/>
          </reference>
          <reference field="5" count="1">
            <x v="766"/>
          </reference>
        </references>
      </pivotArea>
    </format>
    <format dxfId="76">
      <pivotArea collapsedLevelsAreSubtotals="1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5" count="1">
            <x v="766"/>
          </reference>
        </references>
      </pivotArea>
    </format>
    <format dxfId="75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2"/>
          </reference>
          <reference field="5" count="1">
            <x v="770"/>
          </reference>
        </references>
      </pivotArea>
    </format>
    <format dxfId="74">
      <pivotArea collapsedLevelsAreSubtotals="1" fieldPosition="0">
        <references count="3">
          <reference field="4294967294" count="1" selected="0">
            <x v="2"/>
          </reference>
          <reference field="2" count="1" selected="0">
            <x v="2"/>
          </reference>
          <reference field="5" count="1">
            <x v="770"/>
          </reference>
        </references>
      </pivotArea>
    </format>
    <format dxfId="73">
      <pivotArea dataOnly="0" labelOnly="1" fieldPosition="0">
        <references count="2">
          <reference field="2" count="1" selected="0">
            <x v="2"/>
          </reference>
          <reference field="5" count="1">
            <x v="770"/>
          </reference>
        </references>
      </pivotArea>
    </format>
    <format dxfId="72">
      <pivotArea collapsedLevelsAreSubtotals="1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5" count="1">
            <x v="770"/>
          </reference>
        </references>
      </pivotArea>
    </format>
    <format dxfId="71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2"/>
          </reference>
          <reference field="5" count="1">
            <x v="784"/>
          </reference>
        </references>
      </pivotArea>
    </format>
    <format dxfId="70">
      <pivotArea collapsedLevelsAreSubtotals="1" fieldPosition="0">
        <references count="3">
          <reference field="4294967294" count="1" selected="0">
            <x v="2"/>
          </reference>
          <reference field="2" count="1" selected="0">
            <x v="2"/>
          </reference>
          <reference field="5" count="1">
            <x v="784"/>
          </reference>
        </references>
      </pivotArea>
    </format>
    <format dxfId="69">
      <pivotArea dataOnly="0" labelOnly="1" fieldPosition="0">
        <references count="2">
          <reference field="2" count="1" selected="0">
            <x v="2"/>
          </reference>
          <reference field="5" count="1">
            <x v="784"/>
          </reference>
        </references>
      </pivotArea>
    </format>
    <format dxfId="68">
      <pivotArea collapsedLevelsAreSubtotals="1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5" count="1">
            <x v="784"/>
          </reference>
        </references>
      </pivotArea>
    </format>
    <format dxfId="67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2"/>
          </reference>
          <reference field="5" count="1">
            <x v="830"/>
          </reference>
        </references>
      </pivotArea>
    </format>
    <format dxfId="66">
      <pivotArea collapsedLevelsAreSubtotals="1" fieldPosition="0">
        <references count="3">
          <reference field="4294967294" count="1" selected="0">
            <x v="2"/>
          </reference>
          <reference field="2" count="1" selected="0">
            <x v="2"/>
          </reference>
          <reference field="5" count="1">
            <x v="830"/>
          </reference>
        </references>
      </pivotArea>
    </format>
    <format dxfId="65">
      <pivotArea dataOnly="0" labelOnly="1" fieldPosition="0">
        <references count="2">
          <reference field="2" count="1" selected="0">
            <x v="2"/>
          </reference>
          <reference field="5" count="1">
            <x v="830"/>
          </reference>
        </references>
      </pivotArea>
    </format>
    <format dxfId="64">
      <pivotArea collapsedLevelsAreSubtotals="1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5" count="1">
            <x v="830"/>
          </reference>
        </references>
      </pivotArea>
    </format>
    <format dxfId="63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2"/>
          </reference>
          <reference field="5" count="1">
            <x v="860"/>
          </reference>
        </references>
      </pivotArea>
    </format>
    <format dxfId="62">
      <pivotArea collapsedLevelsAreSubtotals="1" fieldPosition="0">
        <references count="3">
          <reference field="4294967294" count="1" selected="0">
            <x v="2"/>
          </reference>
          <reference field="2" count="1" selected="0">
            <x v="2"/>
          </reference>
          <reference field="5" count="1">
            <x v="860"/>
          </reference>
        </references>
      </pivotArea>
    </format>
    <format dxfId="61">
      <pivotArea dataOnly="0" labelOnly="1" fieldPosition="0">
        <references count="2">
          <reference field="2" count="1" selected="0">
            <x v="2"/>
          </reference>
          <reference field="5" count="1">
            <x v="860"/>
          </reference>
        </references>
      </pivotArea>
    </format>
    <format dxfId="60">
      <pivotArea collapsedLevelsAreSubtotals="1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5" count="1">
            <x v="860"/>
          </reference>
        </references>
      </pivotArea>
    </format>
    <format dxfId="59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2"/>
          </reference>
          <reference field="5" count="1">
            <x v="766"/>
          </reference>
        </references>
      </pivotArea>
    </format>
    <format dxfId="58">
      <pivotArea collapsedLevelsAreSubtotals="1" fieldPosition="0">
        <references count="3">
          <reference field="4294967294" count="1" selected="0">
            <x v="2"/>
          </reference>
          <reference field="2" count="1" selected="0">
            <x v="2"/>
          </reference>
          <reference field="5" count="1">
            <x v="766"/>
          </reference>
        </references>
      </pivotArea>
    </format>
    <format dxfId="57">
      <pivotArea dataOnly="0" labelOnly="1" fieldPosition="0">
        <references count="2">
          <reference field="2" count="1" selected="0">
            <x v="2"/>
          </reference>
          <reference field="5" count="1">
            <x v="766"/>
          </reference>
        </references>
      </pivotArea>
    </format>
    <format dxfId="56">
      <pivotArea collapsedLevelsAreSubtotals="1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5" count="1">
            <x v="766"/>
          </reference>
        </references>
      </pivotArea>
    </format>
    <format dxfId="55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2"/>
          </reference>
          <reference field="5" count="1">
            <x v="770"/>
          </reference>
        </references>
      </pivotArea>
    </format>
    <format dxfId="54">
      <pivotArea collapsedLevelsAreSubtotals="1" fieldPosition="0">
        <references count="3">
          <reference field="4294967294" count="1" selected="0">
            <x v="2"/>
          </reference>
          <reference field="2" count="1" selected="0">
            <x v="2"/>
          </reference>
          <reference field="5" count="1">
            <x v="770"/>
          </reference>
        </references>
      </pivotArea>
    </format>
    <format dxfId="53">
      <pivotArea dataOnly="0" labelOnly="1" fieldPosition="0">
        <references count="2">
          <reference field="2" count="1" selected="0">
            <x v="2"/>
          </reference>
          <reference field="5" count="1">
            <x v="770"/>
          </reference>
        </references>
      </pivotArea>
    </format>
    <format dxfId="52">
      <pivotArea collapsedLevelsAreSubtotals="1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5" count="1">
            <x v="770"/>
          </reference>
        </references>
      </pivotArea>
    </format>
    <format dxfId="51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2"/>
          </reference>
          <reference field="5" count="1">
            <x v="784"/>
          </reference>
        </references>
      </pivotArea>
    </format>
    <format dxfId="50">
      <pivotArea collapsedLevelsAreSubtotals="1" fieldPosition="0">
        <references count="3">
          <reference field="4294967294" count="1" selected="0">
            <x v="2"/>
          </reference>
          <reference field="2" count="1" selected="0">
            <x v="2"/>
          </reference>
          <reference field="5" count="1">
            <x v="784"/>
          </reference>
        </references>
      </pivotArea>
    </format>
    <format dxfId="49">
      <pivotArea dataOnly="0" labelOnly="1" fieldPosition="0">
        <references count="2">
          <reference field="2" count="1" selected="0">
            <x v="2"/>
          </reference>
          <reference field="5" count="1">
            <x v="784"/>
          </reference>
        </references>
      </pivotArea>
    </format>
    <format dxfId="48">
      <pivotArea collapsedLevelsAreSubtotals="1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5" count="1">
            <x v="784"/>
          </reference>
        </references>
      </pivotArea>
    </format>
    <format dxfId="47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2"/>
          </reference>
          <reference field="5" count="1">
            <x v="830"/>
          </reference>
        </references>
      </pivotArea>
    </format>
    <format dxfId="46">
      <pivotArea collapsedLevelsAreSubtotals="1" fieldPosition="0">
        <references count="3">
          <reference field="4294967294" count="1" selected="0">
            <x v="2"/>
          </reference>
          <reference field="2" count="1" selected="0">
            <x v="2"/>
          </reference>
          <reference field="5" count="1">
            <x v="830"/>
          </reference>
        </references>
      </pivotArea>
    </format>
    <format dxfId="45">
      <pivotArea dataOnly="0" labelOnly="1" fieldPosition="0">
        <references count="2">
          <reference field="2" count="1" selected="0">
            <x v="2"/>
          </reference>
          <reference field="5" count="1">
            <x v="830"/>
          </reference>
        </references>
      </pivotArea>
    </format>
    <format dxfId="44">
      <pivotArea collapsedLevelsAreSubtotals="1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5" count="1">
            <x v="830"/>
          </reference>
        </references>
      </pivotArea>
    </format>
    <format dxfId="43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2"/>
          </reference>
          <reference field="5" count="1">
            <x v="860"/>
          </reference>
        </references>
      </pivotArea>
    </format>
    <format dxfId="42">
      <pivotArea collapsedLevelsAreSubtotals="1" fieldPosition="0">
        <references count="3">
          <reference field="4294967294" count="1" selected="0">
            <x v="2"/>
          </reference>
          <reference field="2" count="1" selected="0">
            <x v="2"/>
          </reference>
          <reference field="5" count="1">
            <x v="860"/>
          </reference>
        </references>
      </pivotArea>
    </format>
    <format dxfId="41">
      <pivotArea dataOnly="0" labelOnly="1" fieldPosition="0">
        <references count="2">
          <reference field="2" count="1" selected="0">
            <x v="2"/>
          </reference>
          <reference field="5" count="1">
            <x v="860"/>
          </reference>
        </references>
      </pivotArea>
    </format>
    <format dxfId="40">
      <pivotArea collapsedLevelsAreSubtotals="1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5" count="1">
            <x v="860"/>
          </reference>
        </references>
      </pivotArea>
    </format>
    <format dxfId="39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2"/>
          </reference>
          <reference field="5" count="1">
            <x v="1190"/>
          </reference>
        </references>
      </pivotArea>
    </format>
    <format dxfId="38">
      <pivotArea collapsedLevelsAreSubtotals="1" fieldPosition="0">
        <references count="3">
          <reference field="4294967294" count="1" selected="0">
            <x v="2"/>
          </reference>
          <reference field="2" count="1" selected="0">
            <x v="2"/>
          </reference>
          <reference field="5" count="1">
            <x v="1190"/>
          </reference>
        </references>
      </pivotArea>
    </format>
    <format dxfId="37">
      <pivotArea dataOnly="0" labelOnly="1" fieldPosition="0">
        <references count="2">
          <reference field="2" count="1" selected="0">
            <x v="2"/>
          </reference>
          <reference field="5" count="1">
            <x v="1190"/>
          </reference>
        </references>
      </pivotArea>
    </format>
    <format dxfId="36">
      <pivotArea collapsedLevelsAreSubtotals="1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5" count="1">
            <x v="1190"/>
          </reference>
        </references>
      </pivotArea>
    </format>
    <format dxfId="35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2"/>
          </reference>
          <reference field="5" count="1">
            <x v="1420"/>
          </reference>
        </references>
      </pivotArea>
    </format>
    <format dxfId="34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2"/>
          </reference>
          <reference field="5" count="1">
            <x v="1420"/>
          </reference>
        </references>
      </pivotArea>
    </format>
    <format dxfId="33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2"/>
          </reference>
          <reference field="5" count="1">
            <x v="1420"/>
          </reference>
        </references>
      </pivotArea>
    </format>
    <format dxfId="32">
      <pivotArea collapsedLevelsAreSubtotals="1" fieldPosition="0">
        <references count="3">
          <reference field="4294967294" count="1" selected="0">
            <x v="2"/>
          </reference>
          <reference field="2" count="1" selected="0">
            <x v="2"/>
          </reference>
          <reference field="5" count="1">
            <x v="1420"/>
          </reference>
        </references>
      </pivotArea>
    </format>
    <format dxfId="31">
      <pivotArea collapsedLevelsAreSubtotals="1" fieldPosition="0">
        <references count="3">
          <reference field="4294967294" count="1" selected="0">
            <x v="2"/>
          </reference>
          <reference field="2" count="1" selected="0">
            <x v="2"/>
          </reference>
          <reference field="5" count="1">
            <x v="1420"/>
          </reference>
        </references>
      </pivotArea>
    </format>
    <format dxfId="30">
      <pivotArea collapsedLevelsAreSubtotals="1" fieldPosition="0">
        <references count="3">
          <reference field="4294967294" count="1" selected="0">
            <x v="2"/>
          </reference>
          <reference field="2" count="1" selected="0">
            <x v="2"/>
          </reference>
          <reference field="5" count="1">
            <x v="1420"/>
          </reference>
        </references>
      </pivotArea>
    </format>
    <format dxfId="29">
      <pivotArea dataOnly="0" labelOnly="1" fieldPosition="0">
        <references count="2">
          <reference field="2" count="1" selected="0">
            <x v="2"/>
          </reference>
          <reference field="5" count="1">
            <x v="1420"/>
          </reference>
        </references>
      </pivotArea>
    </format>
    <format dxfId="28">
      <pivotArea dataOnly="0" labelOnly="1" fieldPosition="0">
        <references count="2">
          <reference field="2" count="1" selected="0">
            <x v="2"/>
          </reference>
          <reference field="5" count="1">
            <x v="1420"/>
          </reference>
        </references>
      </pivotArea>
    </format>
    <format dxfId="27">
      <pivotArea dataOnly="0" labelOnly="1" fieldPosition="0">
        <references count="2">
          <reference field="2" count="1" selected="0">
            <x v="2"/>
          </reference>
          <reference field="5" count="1">
            <x v="1420"/>
          </reference>
        </references>
      </pivotArea>
    </format>
    <format dxfId="26">
      <pivotArea collapsedLevelsAreSubtotals="1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5" count="1">
            <x v="1420"/>
          </reference>
        </references>
      </pivotArea>
    </format>
    <format dxfId="25">
      <pivotArea collapsedLevelsAreSubtotals="1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5" count="1">
            <x v="1420"/>
          </reference>
        </references>
      </pivotArea>
    </format>
    <format dxfId="24">
      <pivotArea collapsedLevelsAreSubtotals="1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5" count="1">
            <x v="1420"/>
          </reference>
        </references>
      </pivotArea>
    </format>
    <format dxfId="23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2"/>
          </reference>
          <reference field="5" count="1">
            <x v="1490"/>
          </reference>
        </references>
      </pivotArea>
    </format>
    <format dxfId="22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2"/>
          </reference>
          <reference field="5" count="1">
            <x v="1490"/>
          </reference>
        </references>
      </pivotArea>
    </format>
    <format dxfId="21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2"/>
          </reference>
          <reference field="5" count="1">
            <x v="1490"/>
          </reference>
        </references>
      </pivotArea>
    </format>
    <format dxfId="20">
      <pivotArea collapsedLevelsAreSubtotals="1" fieldPosition="0">
        <references count="3">
          <reference field="4294967294" count="1" selected="0">
            <x v="2"/>
          </reference>
          <reference field="2" count="1" selected="0">
            <x v="2"/>
          </reference>
          <reference field="5" count="1">
            <x v="1490"/>
          </reference>
        </references>
      </pivotArea>
    </format>
    <format dxfId="19">
      <pivotArea collapsedLevelsAreSubtotals="1" fieldPosition="0">
        <references count="3">
          <reference field="4294967294" count="1" selected="0">
            <x v="2"/>
          </reference>
          <reference field="2" count="1" selected="0">
            <x v="2"/>
          </reference>
          <reference field="5" count="1">
            <x v="1490"/>
          </reference>
        </references>
      </pivotArea>
    </format>
    <format dxfId="18">
      <pivotArea collapsedLevelsAreSubtotals="1" fieldPosition="0">
        <references count="3">
          <reference field="4294967294" count="1" selected="0">
            <x v="2"/>
          </reference>
          <reference field="2" count="1" selected="0">
            <x v="2"/>
          </reference>
          <reference field="5" count="1">
            <x v="1490"/>
          </reference>
        </references>
      </pivotArea>
    </format>
    <format dxfId="17">
      <pivotArea dataOnly="0" labelOnly="1" fieldPosition="0">
        <references count="2">
          <reference field="2" count="1" selected="0">
            <x v="2"/>
          </reference>
          <reference field="5" count="1">
            <x v="1490"/>
          </reference>
        </references>
      </pivotArea>
    </format>
    <format dxfId="16">
      <pivotArea dataOnly="0" labelOnly="1" fieldPosition="0">
        <references count="2">
          <reference field="2" count="1" selected="0">
            <x v="2"/>
          </reference>
          <reference field="5" count="1">
            <x v="1490"/>
          </reference>
        </references>
      </pivotArea>
    </format>
    <format dxfId="15">
      <pivotArea dataOnly="0" labelOnly="1" fieldPosition="0">
        <references count="2">
          <reference field="2" count="1" selected="0">
            <x v="2"/>
          </reference>
          <reference field="5" count="1">
            <x v="1490"/>
          </reference>
        </references>
      </pivotArea>
    </format>
    <format dxfId="14">
      <pivotArea collapsedLevelsAreSubtotals="1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5" count="1">
            <x v="1490"/>
          </reference>
        </references>
      </pivotArea>
    </format>
    <format dxfId="13">
      <pivotArea collapsedLevelsAreSubtotals="1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5" count="1">
            <x v="1490"/>
          </reference>
        </references>
      </pivotArea>
    </format>
    <format dxfId="12">
      <pivotArea collapsedLevelsAreSubtotals="1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5" count="1">
            <x v="1490"/>
          </reference>
        </references>
      </pivotArea>
    </format>
    <format dxfId="11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1"/>
          </reference>
          <reference field="5" count="1">
            <x v="1076"/>
          </reference>
        </references>
      </pivotArea>
    </format>
    <format dxfId="10">
      <pivotArea collapsedLevelsAreSubtotals="1" fieldPosition="0">
        <references count="3">
          <reference field="4294967294" count="1" selected="0">
            <x v="2"/>
          </reference>
          <reference field="2" count="1" selected="0">
            <x v="1"/>
          </reference>
          <reference field="5" count="1">
            <x v="1076"/>
          </reference>
        </references>
      </pivotArea>
    </format>
    <format dxfId="9">
      <pivotArea dataOnly="0" labelOnly="1" fieldPosition="0">
        <references count="2">
          <reference field="2" count="1" selected="0">
            <x v="1"/>
          </reference>
          <reference field="5" count="1">
            <x v="1076"/>
          </reference>
        </references>
      </pivotArea>
    </format>
    <format dxfId="8">
      <pivotArea collapsedLevelsAreSubtotals="1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5" count="1">
            <x v="1076"/>
          </reference>
        </references>
      </pivotArea>
    </format>
    <format dxfId="7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1"/>
          </reference>
          <reference field="5" count="1">
            <x v="1158"/>
          </reference>
        </references>
      </pivotArea>
    </format>
    <format dxfId="6">
      <pivotArea collapsedLevelsAreSubtotals="1" fieldPosition="0">
        <references count="3">
          <reference field="4294967294" count="1" selected="0">
            <x v="2"/>
          </reference>
          <reference field="2" count="1" selected="0">
            <x v="1"/>
          </reference>
          <reference field="5" count="1">
            <x v="1158"/>
          </reference>
        </references>
      </pivotArea>
    </format>
    <format dxfId="5">
      <pivotArea dataOnly="0" labelOnly="1" fieldPosition="0">
        <references count="2">
          <reference field="2" count="1" selected="0">
            <x v="1"/>
          </reference>
          <reference field="5" count="1">
            <x v="1158"/>
          </reference>
        </references>
      </pivotArea>
    </format>
    <format dxfId="4">
      <pivotArea collapsedLevelsAreSubtotals="1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5" count="1">
            <x v="1158"/>
          </reference>
        </references>
      </pivotArea>
    </format>
    <format dxfId="3">
      <pivotArea collapsedLevelsAreSubtotals="1" fieldPosition="0">
        <references count="3">
          <reference field="4294967294" count="1" selected="0">
            <x v="1"/>
          </reference>
          <reference field="2" count="1" selected="0">
            <x v="0"/>
          </reference>
          <reference field="5" count="1">
            <x v="377"/>
          </reference>
        </references>
      </pivotArea>
    </format>
    <format dxfId="2">
      <pivotArea collapsedLevelsAreSubtotals="1" fieldPosition="0">
        <references count="3">
          <reference field="4294967294" count="1" selected="0">
            <x v="2"/>
          </reference>
          <reference field="2" count="1" selected="0">
            <x v="0"/>
          </reference>
          <reference field="5" count="1">
            <x v="377"/>
          </reference>
        </references>
      </pivotArea>
    </format>
    <format dxfId="1">
      <pivotArea dataOnly="0" labelOnly="1" fieldPosition="0">
        <references count="2">
          <reference field="2" count="1" selected="0">
            <x v="0"/>
          </reference>
          <reference field="5" count="1">
            <x v="377"/>
          </reference>
        </references>
      </pivotArea>
    </format>
    <format dxfId="0">
      <pivotArea collapsedLevelsAreSubtotals="1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5" count="1">
            <x v="377"/>
          </reference>
        </references>
      </pivotArea>
    </format>
  </formats>
  <chartFormats count="2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a dinámica Gráfico01" cacheId="6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4" rowHeaderCaption="CLIENTES">
  <location ref="A1:C5" firstHeaderRow="0" firstDataRow="1" firstDataCol="1"/>
  <pivotFields count="11">
    <pivotField showAll="0"/>
    <pivotField showAll="0"/>
    <pivotField axis="axisRow" showAll="0" sortType="descending">
      <items count="4">
        <item x="2"/>
        <item x="1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showAll="0">
      <items count="2">
        <item x="0"/>
        <item t="default"/>
      </items>
    </pivotField>
    <pivotField showAll="0">
      <items count="4">
        <item x="0"/>
        <item x="1"/>
        <item x="2"/>
        <item t="default"/>
      </items>
    </pivotField>
    <pivotField dataField="1" showAll="0"/>
    <pivotField showAll="0" defaultSubtotal="0"/>
    <pivotField dragToRow="0" dragToCol="0" dragToPage="0" showAll="0" defaultSubtotal="0"/>
  </pivotFields>
  <rowFields count="1">
    <field x="2"/>
  </rowFields>
  <rowItems count="4">
    <i>
      <x v="2"/>
    </i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TOTAL FACTURAS" fld="5" subtotal="count" baseField="2" baseItem="5" numFmtId="3"/>
    <dataField name="CANT RENDIDAS " fld="8" baseField="2" baseItem="5" numFmtId="3"/>
  </dataFields>
  <chartFormats count="2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192.168.1.8_POSEIDONSQL APPFVT_01 SQLFacturasRendidas" connectionId="1" autoFormatId="16" applyNumberFormats="0" applyBorderFormats="0" applyFontFormats="0" applyPatternFormats="0" applyAlignmentFormats="0" applyWidthHeightFormats="0">
  <queryTableRefresh nextId="30" unboundColumnsRight="4">
    <queryTableFields count="10">
      <queryTableField id="1" name="usu_codigo" tableColumnId="1"/>
      <queryTableField id="2" name="inf_tipoInforme" tableColumnId="2"/>
      <queryTableField id="3" name="car_nombre" tableColumnId="3"/>
      <queryTableField id="4" name="epc_nombre" tableColumnId="4"/>
      <queryTableField id="19" name="f_facturacion" tableColumnId="19"/>
      <queryTableField id="23" name="fac_factura" tableColumnId="23"/>
      <queryTableField id="25" dataBound="0" tableColumnId="25"/>
      <queryTableField id="26" dataBound="0" tableColumnId="26"/>
      <queryTableField id="28" dataBound="0" tableColumnId="28"/>
      <queryTableField id="29" dataBound="0" tableColumnId="5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AÑO" sourceName="AÑO">
  <pivotTables>
    <pivotTable tabId="3" name="Tabla dinámica Gráfico01"/>
    <pivotTable tabId="2" name="Tabla dinámica3"/>
  </pivotTables>
  <data>
    <tabular pivotCacheId="4">
      <items count="1">
        <i x="0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MES" sourceName="MES">
  <pivotTables>
    <pivotTable tabId="3" name="Tabla dinámica Gráfico01"/>
    <pivotTable tabId="2" name="Tabla dinámica3"/>
  </pivotTables>
  <data>
    <tabular pivotCacheId="4">
      <items count="3">
        <i x="0" s="1"/>
        <i x="1" s="1"/>
        <i x="2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AÑO" cache="SegmentaciónDeDatos_AÑO" caption="AÑO" style="SlicerStyleDark3" rowHeight="241300"/>
  <slicer name="MES" cache="SegmentaciónDeDatos_MES" caption="MES" style="SlicerStyleOther1" rowHeight="24130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a__192.168.1.8_POSEIDONSQL_APPFVT_01_SQLFacturasRendidas" displayName="Tabla__192.168.1.8_POSEIDONSQL_APPFVT_01_SQLFacturasRendidas" ref="A1:J1500" tableType="queryTable" totalsRowShown="0">
  <autoFilter ref="A1:J1500"/>
  <tableColumns count="10">
    <tableColumn id="1" uniqueName="1" name="usu_codigo" queryTableFieldId="1"/>
    <tableColumn id="2" uniqueName="2" name="inf_tipoInforme" queryTableFieldId="2"/>
    <tableColumn id="3" uniqueName="3" name="car_nombre" queryTableFieldId="3"/>
    <tableColumn id="4" uniqueName="4" name="epc_nombre" queryTableFieldId="4"/>
    <tableColumn id="19" uniqueName="19" name="f_facturacion" queryTableFieldId="19"/>
    <tableColumn id="23" uniqueName="23" name="fac_factura" queryTableFieldId="23"/>
    <tableColumn id="25" uniqueName="25" name="AÑO" queryTableFieldId="25">
      <calculatedColumnFormula>+YEAR(Tabla__192.168.1.8_POSEIDONSQL_APPFVT_01_SQLFacturasRendidas[[#This Row],[f_facturacion]])</calculatedColumnFormula>
    </tableColumn>
    <tableColumn id="26" uniqueName="26" name="MES" queryTableFieldId="26">
      <calculatedColumnFormula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calculatedColumnFormula>
    </tableColumn>
    <tableColumn id="28" uniqueName="28" name="CANT RENDIDAS" queryTableFieldId="28">
      <calculatedColumnFormula>+IF(Tabla__192.168.1.8_POSEIDONSQL_APPFVT_01_SQLFacturasRendidas[[#This Row],[epc_nombre]]="RENDIDA",1,0)</calculatedColumnFormula>
    </tableColumn>
    <tableColumn id="5" uniqueName="5" name="TOTAL" queryTableFieldId="29" dataDxfId="232">
      <calculatedColumnFormula>+IF(Tabla__192.168.1.8_POSEIDONSQL_APPFVT_01_SQLFacturasRendidas[[#This Row],[usu_codigo]]="","",1)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microsoft.com/office/2007/relationships/slicer" Target="../slicers/slicer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1500"/>
  <sheetViews>
    <sheetView topLeftCell="A1468" zoomScale="80" zoomScaleNormal="80" workbookViewId="0"/>
  </sheetViews>
  <sheetFormatPr baseColWidth="10" defaultRowHeight="15" x14ac:dyDescent="0.25"/>
  <cols>
    <col min="1" max="1" width="13.85546875" bestFit="1" customWidth="1"/>
    <col min="2" max="2" width="17.85546875" bestFit="1" customWidth="1"/>
    <col min="3" max="3" width="22" customWidth="1"/>
    <col min="4" max="4" width="15" bestFit="1" customWidth="1"/>
    <col min="5" max="5" width="15.7109375" bestFit="1" customWidth="1"/>
    <col min="6" max="6" width="14.140625" bestFit="1" customWidth="1"/>
    <col min="7" max="7" width="8.140625" bestFit="1" customWidth="1"/>
    <col min="8" max="8" width="8" customWidth="1"/>
    <col min="9" max="9" width="18.85546875" bestFit="1" customWidth="1"/>
    <col min="10" max="10" width="9.85546875" bestFit="1" customWidth="1"/>
    <col min="11" max="11" width="16.5703125" bestFit="1" customWidth="1"/>
    <col min="12" max="12" width="14.42578125" bestFit="1" customWidth="1"/>
    <col min="13" max="13" width="14.140625" bestFit="1" customWidth="1"/>
    <col min="14" max="14" width="16" bestFit="1" customWidth="1"/>
    <col min="15" max="15" width="15.7109375" bestFit="1" customWidth="1"/>
    <col min="16" max="16" width="13.140625" bestFit="1" customWidth="1"/>
    <col min="17" max="17" width="14.85546875" bestFit="1" customWidth="1"/>
    <col min="18" max="18" width="15.7109375" bestFit="1" customWidth="1"/>
    <col min="19" max="19" width="15.28515625" bestFit="1" customWidth="1"/>
    <col min="20" max="20" width="14.140625" bestFit="1" customWidth="1"/>
    <col min="21" max="21" width="12" bestFit="1" customWidth="1"/>
    <col min="22" max="22" width="14.140625" bestFit="1" customWidth="1"/>
    <col min="23" max="23" width="13.7109375" bestFit="1" customWidth="1"/>
    <col min="24" max="24" width="8.140625" customWidth="1"/>
    <col min="25" max="25" width="8" customWidth="1"/>
    <col min="26" max="26" width="13.85546875" bestFit="1" customWidth="1"/>
    <col min="27" max="27" width="18.85546875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9</v>
      </c>
      <c r="J1" t="s">
        <v>80</v>
      </c>
    </row>
    <row r="2" spans="1:10" x14ac:dyDescent="0.25">
      <c r="A2">
        <v>1</v>
      </c>
      <c r="B2">
        <v>3</v>
      </c>
      <c r="C2" t="s">
        <v>81</v>
      </c>
      <c r="D2" t="s">
        <v>15</v>
      </c>
      <c r="E2" t="s">
        <v>76</v>
      </c>
      <c r="F2">
        <v>90279</v>
      </c>
      <c r="G2">
        <f>+YEAR(Tabla__192.168.1.8_POSEIDONSQL_APPFVT_01_SQLFacturasRendidas[[#This Row],[f_facturacion]])</f>
        <v>2018</v>
      </c>
      <c r="H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2">
        <f>+IF(Tabla__192.168.1.8_POSEIDONSQL_APPFVT_01_SQLFacturasRendidas[[#This Row],[epc_nombre]]="RENDIDA",1,0)</f>
        <v>1</v>
      </c>
      <c r="J2">
        <f>+IF(Tabla__192.168.1.8_POSEIDONSQL_APPFVT_01_SQLFacturasRendidas[[#This Row],[usu_codigo]]="","",1)</f>
        <v>1</v>
      </c>
    </row>
    <row r="3" spans="1:10" x14ac:dyDescent="0.25">
      <c r="A3">
        <v>1</v>
      </c>
      <c r="B3">
        <v>3</v>
      </c>
      <c r="C3" t="s">
        <v>81</v>
      </c>
      <c r="D3" t="s">
        <v>15</v>
      </c>
      <c r="E3" t="s">
        <v>76</v>
      </c>
      <c r="F3">
        <v>90280</v>
      </c>
      <c r="G3">
        <f>+YEAR(Tabla__192.168.1.8_POSEIDONSQL_APPFVT_01_SQLFacturasRendidas[[#This Row],[f_facturacion]])</f>
        <v>2018</v>
      </c>
      <c r="H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3">
        <f>+IF(Tabla__192.168.1.8_POSEIDONSQL_APPFVT_01_SQLFacturasRendidas[[#This Row],[epc_nombre]]="RENDIDA",1,0)</f>
        <v>1</v>
      </c>
      <c r="J3">
        <f>+IF(Tabla__192.168.1.8_POSEIDONSQL_APPFVT_01_SQLFacturasRendidas[[#This Row],[usu_codigo]]="","",1)</f>
        <v>1</v>
      </c>
    </row>
    <row r="4" spans="1:10" x14ac:dyDescent="0.25">
      <c r="A4">
        <v>1</v>
      </c>
      <c r="B4">
        <v>3</v>
      </c>
      <c r="C4" t="s">
        <v>81</v>
      </c>
      <c r="D4" t="s">
        <v>15</v>
      </c>
      <c r="E4" t="s">
        <v>76</v>
      </c>
      <c r="F4">
        <v>90281</v>
      </c>
      <c r="G4">
        <f>+YEAR(Tabla__192.168.1.8_POSEIDONSQL_APPFVT_01_SQLFacturasRendidas[[#This Row],[f_facturacion]])</f>
        <v>2018</v>
      </c>
      <c r="H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">
        <f>+IF(Tabla__192.168.1.8_POSEIDONSQL_APPFVT_01_SQLFacturasRendidas[[#This Row],[epc_nombre]]="RENDIDA",1,0)</f>
        <v>1</v>
      </c>
      <c r="J4">
        <f>+IF(Tabla__192.168.1.8_POSEIDONSQL_APPFVT_01_SQLFacturasRendidas[[#This Row],[usu_codigo]]="","",1)</f>
        <v>1</v>
      </c>
    </row>
    <row r="5" spans="1:10" x14ac:dyDescent="0.25">
      <c r="A5">
        <v>1</v>
      </c>
      <c r="B5">
        <v>3</v>
      </c>
      <c r="C5" t="s">
        <v>81</v>
      </c>
      <c r="D5" t="s">
        <v>15</v>
      </c>
      <c r="E5" t="s">
        <v>76</v>
      </c>
      <c r="F5">
        <v>90282</v>
      </c>
      <c r="G5">
        <f>+YEAR(Tabla__192.168.1.8_POSEIDONSQL_APPFVT_01_SQLFacturasRendidas[[#This Row],[f_facturacion]])</f>
        <v>2018</v>
      </c>
      <c r="H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5">
        <f>+IF(Tabla__192.168.1.8_POSEIDONSQL_APPFVT_01_SQLFacturasRendidas[[#This Row],[epc_nombre]]="RENDIDA",1,0)</f>
        <v>1</v>
      </c>
      <c r="J5">
        <f>+IF(Tabla__192.168.1.8_POSEIDONSQL_APPFVT_01_SQLFacturasRendidas[[#This Row],[usu_codigo]]="","",1)</f>
        <v>1</v>
      </c>
    </row>
    <row r="6" spans="1:10" x14ac:dyDescent="0.25">
      <c r="A6">
        <v>1</v>
      </c>
      <c r="B6">
        <v>3</v>
      </c>
      <c r="C6" t="s">
        <v>81</v>
      </c>
      <c r="D6" t="s">
        <v>15</v>
      </c>
      <c r="E6" t="s">
        <v>76</v>
      </c>
      <c r="F6">
        <v>90283</v>
      </c>
      <c r="G6">
        <f>+YEAR(Tabla__192.168.1.8_POSEIDONSQL_APPFVT_01_SQLFacturasRendidas[[#This Row],[f_facturacion]])</f>
        <v>2018</v>
      </c>
      <c r="H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6">
        <f>+IF(Tabla__192.168.1.8_POSEIDONSQL_APPFVT_01_SQLFacturasRendidas[[#This Row],[epc_nombre]]="RENDIDA",1,0)</f>
        <v>1</v>
      </c>
      <c r="J6">
        <f>+IF(Tabla__192.168.1.8_POSEIDONSQL_APPFVT_01_SQLFacturasRendidas[[#This Row],[usu_codigo]]="","",1)</f>
        <v>1</v>
      </c>
    </row>
    <row r="7" spans="1:10" x14ac:dyDescent="0.25">
      <c r="A7">
        <v>1</v>
      </c>
      <c r="B7">
        <v>3</v>
      </c>
      <c r="C7" t="s">
        <v>81</v>
      </c>
      <c r="D7" t="s">
        <v>15</v>
      </c>
      <c r="E7" t="s">
        <v>76</v>
      </c>
      <c r="F7">
        <v>90284</v>
      </c>
      <c r="G7">
        <f>+YEAR(Tabla__192.168.1.8_POSEIDONSQL_APPFVT_01_SQLFacturasRendidas[[#This Row],[f_facturacion]])</f>
        <v>2018</v>
      </c>
      <c r="H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7">
        <f>+IF(Tabla__192.168.1.8_POSEIDONSQL_APPFVT_01_SQLFacturasRendidas[[#This Row],[epc_nombre]]="RENDIDA",1,0)</f>
        <v>1</v>
      </c>
      <c r="J7">
        <f>+IF(Tabla__192.168.1.8_POSEIDONSQL_APPFVT_01_SQLFacturasRendidas[[#This Row],[usu_codigo]]="","",1)</f>
        <v>1</v>
      </c>
    </row>
    <row r="8" spans="1:10" x14ac:dyDescent="0.25">
      <c r="A8">
        <v>1</v>
      </c>
      <c r="B8">
        <v>3</v>
      </c>
      <c r="C8" t="s">
        <v>81</v>
      </c>
      <c r="D8" t="s">
        <v>15</v>
      </c>
      <c r="E8" t="s">
        <v>76</v>
      </c>
      <c r="F8">
        <v>90285</v>
      </c>
      <c r="G8">
        <f>+YEAR(Tabla__192.168.1.8_POSEIDONSQL_APPFVT_01_SQLFacturasRendidas[[#This Row],[f_facturacion]])</f>
        <v>2018</v>
      </c>
      <c r="H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8">
        <f>+IF(Tabla__192.168.1.8_POSEIDONSQL_APPFVT_01_SQLFacturasRendidas[[#This Row],[epc_nombre]]="RENDIDA",1,0)</f>
        <v>1</v>
      </c>
      <c r="J8">
        <f>+IF(Tabla__192.168.1.8_POSEIDONSQL_APPFVT_01_SQLFacturasRendidas[[#This Row],[usu_codigo]]="","",1)</f>
        <v>1</v>
      </c>
    </row>
    <row r="9" spans="1:10" x14ac:dyDescent="0.25">
      <c r="A9">
        <v>1</v>
      </c>
      <c r="B9">
        <v>3</v>
      </c>
      <c r="C9" t="s">
        <v>81</v>
      </c>
      <c r="D9" t="s">
        <v>15</v>
      </c>
      <c r="E9" t="s">
        <v>76</v>
      </c>
      <c r="F9">
        <v>90286</v>
      </c>
      <c r="G9">
        <f>+YEAR(Tabla__192.168.1.8_POSEIDONSQL_APPFVT_01_SQLFacturasRendidas[[#This Row],[f_facturacion]])</f>
        <v>2018</v>
      </c>
      <c r="H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9">
        <f>+IF(Tabla__192.168.1.8_POSEIDONSQL_APPFVT_01_SQLFacturasRendidas[[#This Row],[epc_nombre]]="RENDIDA",1,0)</f>
        <v>1</v>
      </c>
      <c r="J9">
        <f>+IF(Tabla__192.168.1.8_POSEIDONSQL_APPFVT_01_SQLFacturasRendidas[[#This Row],[usu_codigo]]="","",1)</f>
        <v>1</v>
      </c>
    </row>
    <row r="10" spans="1:10" x14ac:dyDescent="0.25">
      <c r="A10">
        <v>1</v>
      </c>
      <c r="B10">
        <v>3</v>
      </c>
      <c r="C10" t="s">
        <v>81</v>
      </c>
      <c r="D10" t="s">
        <v>15</v>
      </c>
      <c r="E10" t="s">
        <v>76</v>
      </c>
      <c r="F10">
        <v>90287</v>
      </c>
      <c r="G10">
        <f>+YEAR(Tabla__192.168.1.8_POSEIDONSQL_APPFVT_01_SQLFacturasRendidas[[#This Row],[f_facturacion]])</f>
        <v>2018</v>
      </c>
      <c r="H1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0">
        <f>+IF(Tabla__192.168.1.8_POSEIDONSQL_APPFVT_01_SQLFacturasRendidas[[#This Row],[epc_nombre]]="RENDIDA",1,0)</f>
        <v>1</v>
      </c>
      <c r="J10">
        <f>+IF(Tabla__192.168.1.8_POSEIDONSQL_APPFVT_01_SQLFacturasRendidas[[#This Row],[usu_codigo]]="","",1)</f>
        <v>1</v>
      </c>
    </row>
    <row r="11" spans="1:10" x14ac:dyDescent="0.25">
      <c r="A11">
        <v>1</v>
      </c>
      <c r="B11">
        <v>3</v>
      </c>
      <c r="C11" t="s">
        <v>81</v>
      </c>
      <c r="D11" t="s">
        <v>15</v>
      </c>
      <c r="E11" t="s">
        <v>76</v>
      </c>
      <c r="F11">
        <v>90288</v>
      </c>
      <c r="G11">
        <f>+YEAR(Tabla__192.168.1.8_POSEIDONSQL_APPFVT_01_SQLFacturasRendidas[[#This Row],[f_facturacion]])</f>
        <v>2018</v>
      </c>
      <c r="H1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1">
        <f>+IF(Tabla__192.168.1.8_POSEIDONSQL_APPFVT_01_SQLFacturasRendidas[[#This Row],[epc_nombre]]="RENDIDA",1,0)</f>
        <v>1</v>
      </c>
      <c r="J11">
        <f>+IF(Tabla__192.168.1.8_POSEIDONSQL_APPFVT_01_SQLFacturasRendidas[[#This Row],[usu_codigo]]="","",1)</f>
        <v>1</v>
      </c>
    </row>
    <row r="12" spans="1:10" x14ac:dyDescent="0.25">
      <c r="A12">
        <v>1</v>
      </c>
      <c r="B12">
        <v>3</v>
      </c>
      <c r="C12" t="s">
        <v>81</v>
      </c>
      <c r="D12" t="s">
        <v>15</v>
      </c>
      <c r="E12" t="s">
        <v>76</v>
      </c>
      <c r="F12">
        <v>90289</v>
      </c>
      <c r="G12">
        <f>+YEAR(Tabla__192.168.1.8_POSEIDONSQL_APPFVT_01_SQLFacturasRendidas[[#This Row],[f_facturacion]])</f>
        <v>2018</v>
      </c>
      <c r="H1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">
        <f>+IF(Tabla__192.168.1.8_POSEIDONSQL_APPFVT_01_SQLFacturasRendidas[[#This Row],[epc_nombre]]="RENDIDA",1,0)</f>
        <v>1</v>
      </c>
      <c r="J12">
        <f>+IF(Tabla__192.168.1.8_POSEIDONSQL_APPFVT_01_SQLFacturasRendidas[[#This Row],[usu_codigo]]="","",1)</f>
        <v>1</v>
      </c>
    </row>
    <row r="13" spans="1:10" x14ac:dyDescent="0.25">
      <c r="A13">
        <v>1</v>
      </c>
      <c r="B13">
        <v>3</v>
      </c>
      <c r="C13" t="s">
        <v>81</v>
      </c>
      <c r="D13" t="s">
        <v>15</v>
      </c>
      <c r="E13" t="s">
        <v>76</v>
      </c>
      <c r="F13">
        <v>90290</v>
      </c>
      <c r="G13">
        <f>+YEAR(Tabla__192.168.1.8_POSEIDONSQL_APPFVT_01_SQLFacturasRendidas[[#This Row],[f_facturacion]])</f>
        <v>2018</v>
      </c>
      <c r="H1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">
        <f>+IF(Tabla__192.168.1.8_POSEIDONSQL_APPFVT_01_SQLFacturasRendidas[[#This Row],[epc_nombre]]="RENDIDA",1,0)</f>
        <v>1</v>
      </c>
      <c r="J13">
        <f>+IF(Tabla__192.168.1.8_POSEIDONSQL_APPFVT_01_SQLFacturasRendidas[[#This Row],[usu_codigo]]="","",1)</f>
        <v>1</v>
      </c>
    </row>
    <row r="14" spans="1:10" x14ac:dyDescent="0.25">
      <c r="A14">
        <v>1</v>
      </c>
      <c r="B14">
        <v>3</v>
      </c>
      <c r="C14" t="s">
        <v>81</v>
      </c>
      <c r="D14" t="s">
        <v>15</v>
      </c>
      <c r="E14" t="s">
        <v>76</v>
      </c>
      <c r="F14">
        <v>90291</v>
      </c>
      <c r="G14">
        <f>+YEAR(Tabla__192.168.1.8_POSEIDONSQL_APPFVT_01_SQLFacturasRendidas[[#This Row],[f_facturacion]])</f>
        <v>2018</v>
      </c>
      <c r="H1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4">
        <f>+IF(Tabla__192.168.1.8_POSEIDONSQL_APPFVT_01_SQLFacturasRendidas[[#This Row],[epc_nombre]]="RENDIDA",1,0)</f>
        <v>1</v>
      </c>
      <c r="J14">
        <f>+IF(Tabla__192.168.1.8_POSEIDONSQL_APPFVT_01_SQLFacturasRendidas[[#This Row],[usu_codigo]]="","",1)</f>
        <v>1</v>
      </c>
    </row>
    <row r="15" spans="1:10" x14ac:dyDescent="0.25">
      <c r="A15">
        <v>1</v>
      </c>
      <c r="B15">
        <v>3</v>
      </c>
      <c r="C15" t="s">
        <v>81</v>
      </c>
      <c r="D15" t="s">
        <v>15</v>
      </c>
      <c r="E15" t="s">
        <v>76</v>
      </c>
      <c r="F15">
        <v>90317</v>
      </c>
      <c r="G15">
        <f>+YEAR(Tabla__192.168.1.8_POSEIDONSQL_APPFVT_01_SQLFacturasRendidas[[#This Row],[f_facturacion]])</f>
        <v>2018</v>
      </c>
      <c r="H1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5">
        <f>+IF(Tabla__192.168.1.8_POSEIDONSQL_APPFVT_01_SQLFacturasRendidas[[#This Row],[epc_nombre]]="RENDIDA",1,0)</f>
        <v>1</v>
      </c>
      <c r="J15">
        <f>+IF(Tabla__192.168.1.8_POSEIDONSQL_APPFVT_01_SQLFacturasRendidas[[#This Row],[usu_codigo]]="","",1)</f>
        <v>1</v>
      </c>
    </row>
    <row r="16" spans="1:10" x14ac:dyDescent="0.25">
      <c r="A16">
        <v>1</v>
      </c>
      <c r="B16">
        <v>3</v>
      </c>
      <c r="C16" t="s">
        <v>81</v>
      </c>
      <c r="D16" t="s">
        <v>15</v>
      </c>
      <c r="E16" t="s">
        <v>37</v>
      </c>
      <c r="F16">
        <v>90423</v>
      </c>
      <c r="G16">
        <f>+YEAR(Tabla__192.168.1.8_POSEIDONSQL_APPFVT_01_SQLFacturasRendidas[[#This Row],[f_facturacion]])</f>
        <v>2018</v>
      </c>
      <c r="H1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6">
        <f>+IF(Tabla__192.168.1.8_POSEIDONSQL_APPFVT_01_SQLFacturasRendidas[[#This Row],[epc_nombre]]="RENDIDA",1,0)</f>
        <v>1</v>
      </c>
      <c r="J16">
        <f>+IF(Tabla__192.168.1.8_POSEIDONSQL_APPFVT_01_SQLFacturasRendidas[[#This Row],[usu_codigo]]="","",1)</f>
        <v>1</v>
      </c>
    </row>
    <row r="17" spans="1:10" x14ac:dyDescent="0.25">
      <c r="A17">
        <v>1</v>
      </c>
      <c r="B17">
        <v>3</v>
      </c>
      <c r="C17" t="s">
        <v>81</v>
      </c>
      <c r="D17" t="s">
        <v>15</v>
      </c>
      <c r="E17" t="s">
        <v>37</v>
      </c>
      <c r="F17">
        <v>90424</v>
      </c>
      <c r="G17">
        <f>+YEAR(Tabla__192.168.1.8_POSEIDONSQL_APPFVT_01_SQLFacturasRendidas[[#This Row],[f_facturacion]])</f>
        <v>2018</v>
      </c>
      <c r="H1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7">
        <f>+IF(Tabla__192.168.1.8_POSEIDONSQL_APPFVT_01_SQLFacturasRendidas[[#This Row],[epc_nombre]]="RENDIDA",1,0)</f>
        <v>1</v>
      </c>
      <c r="J17">
        <f>+IF(Tabla__192.168.1.8_POSEIDONSQL_APPFVT_01_SQLFacturasRendidas[[#This Row],[usu_codigo]]="","",1)</f>
        <v>1</v>
      </c>
    </row>
    <row r="18" spans="1:10" x14ac:dyDescent="0.25">
      <c r="A18">
        <v>1</v>
      </c>
      <c r="B18">
        <v>3</v>
      </c>
      <c r="C18" t="s">
        <v>81</v>
      </c>
      <c r="D18" t="s">
        <v>15</v>
      </c>
      <c r="E18" t="s">
        <v>37</v>
      </c>
      <c r="F18">
        <v>90425</v>
      </c>
      <c r="G18">
        <f>+YEAR(Tabla__192.168.1.8_POSEIDONSQL_APPFVT_01_SQLFacturasRendidas[[#This Row],[f_facturacion]])</f>
        <v>2018</v>
      </c>
      <c r="H1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8">
        <f>+IF(Tabla__192.168.1.8_POSEIDONSQL_APPFVT_01_SQLFacturasRendidas[[#This Row],[epc_nombre]]="RENDIDA",1,0)</f>
        <v>1</v>
      </c>
      <c r="J18">
        <f>+IF(Tabla__192.168.1.8_POSEIDONSQL_APPFVT_01_SQLFacturasRendidas[[#This Row],[usu_codigo]]="","",1)</f>
        <v>1</v>
      </c>
    </row>
    <row r="19" spans="1:10" x14ac:dyDescent="0.25">
      <c r="A19">
        <v>1</v>
      </c>
      <c r="B19">
        <v>3</v>
      </c>
      <c r="C19" t="s">
        <v>81</v>
      </c>
      <c r="D19" t="s">
        <v>15</v>
      </c>
      <c r="E19" t="s">
        <v>37</v>
      </c>
      <c r="F19">
        <v>90426</v>
      </c>
      <c r="G19">
        <f>+YEAR(Tabla__192.168.1.8_POSEIDONSQL_APPFVT_01_SQLFacturasRendidas[[#This Row],[f_facturacion]])</f>
        <v>2018</v>
      </c>
      <c r="H1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9">
        <f>+IF(Tabla__192.168.1.8_POSEIDONSQL_APPFVT_01_SQLFacturasRendidas[[#This Row],[epc_nombre]]="RENDIDA",1,0)</f>
        <v>1</v>
      </c>
      <c r="J19">
        <f>+IF(Tabla__192.168.1.8_POSEIDONSQL_APPFVT_01_SQLFacturasRendidas[[#This Row],[usu_codigo]]="","",1)</f>
        <v>1</v>
      </c>
    </row>
    <row r="20" spans="1:10" x14ac:dyDescent="0.25">
      <c r="A20">
        <v>1</v>
      </c>
      <c r="B20">
        <v>3</v>
      </c>
      <c r="C20" t="s">
        <v>81</v>
      </c>
      <c r="D20" t="s">
        <v>15</v>
      </c>
      <c r="E20" t="s">
        <v>37</v>
      </c>
      <c r="F20">
        <v>90427</v>
      </c>
      <c r="G20">
        <f>+YEAR(Tabla__192.168.1.8_POSEIDONSQL_APPFVT_01_SQLFacturasRendidas[[#This Row],[f_facturacion]])</f>
        <v>2018</v>
      </c>
      <c r="H2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20">
        <f>+IF(Tabla__192.168.1.8_POSEIDONSQL_APPFVT_01_SQLFacturasRendidas[[#This Row],[epc_nombre]]="RENDIDA",1,0)</f>
        <v>1</v>
      </c>
      <c r="J20">
        <f>+IF(Tabla__192.168.1.8_POSEIDONSQL_APPFVT_01_SQLFacturasRendidas[[#This Row],[usu_codigo]]="","",1)</f>
        <v>1</v>
      </c>
    </row>
    <row r="21" spans="1:10" x14ac:dyDescent="0.25">
      <c r="A21">
        <v>1</v>
      </c>
      <c r="B21">
        <v>3</v>
      </c>
      <c r="C21" t="s">
        <v>81</v>
      </c>
      <c r="D21" t="s">
        <v>15</v>
      </c>
      <c r="E21" t="s">
        <v>37</v>
      </c>
      <c r="F21">
        <v>90428</v>
      </c>
      <c r="G21">
        <f>+YEAR(Tabla__192.168.1.8_POSEIDONSQL_APPFVT_01_SQLFacturasRendidas[[#This Row],[f_facturacion]])</f>
        <v>2018</v>
      </c>
      <c r="H2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21">
        <f>+IF(Tabla__192.168.1.8_POSEIDONSQL_APPFVT_01_SQLFacturasRendidas[[#This Row],[epc_nombre]]="RENDIDA",1,0)</f>
        <v>1</v>
      </c>
      <c r="J21">
        <f>+IF(Tabla__192.168.1.8_POSEIDONSQL_APPFVT_01_SQLFacturasRendidas[[#This Row],[usu_codigo]]="","",1)</f>
        <v>1</v>
      </c>
    </row>
    <row r="22" spans="1:10" x14ac:dyDescent="0.25">
      <c r="A22">
        <v>1</v>
      </c>
      <c r="B22">
        <v>3</v>
      </c>
      <c r="C22" t="s">
        <v>81</v>
      </c>
      <c r="D22" t="s">
        <v>15</v>
      </c>
      <c r="E22" t="s">
        <v>37</v>
      </c>
      <c r="F22">
        <v>90429</v>
      </c>
      <c r="G22">
        <f>+YEAR(Tabla__192.168.1.8_POSEIDONSQL_APPFVT_01_SQLFacturasRendidas[[#This Row],[f_facturacion]])</f>
        <v>2018</v>
      </c>
      <c r="H2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22">
        <f>+IF(Tabla__192.168.1.8_POSEIDONSQL_APPFVT_01_SQLFacturasRendidas[[#This Row],[epc_nombre]]="RENDIDA",1,0)</f>
        <v>1</v>
      </c>
      <c r="J22">
        <f>+IF(Tabla__192.168.1.8_POSEIDONSQL_APPFVT_01_SQLFacturasRendidas[[#This Row],[usu_codigo]]="","",1)</f>
        <v>1</v>
      </c>
    </row>
    <row r="23" spans="1:10" x14ac:dyDescent="0.25">
      <c r="A23">
        <v>1</v>
      </c>
      <c r="B23">
        <v>3</v>
      </c>
      <c r="C23" t="s">
        <v>81</v>
      </c>
      <c r="D23" t="s">
        <v>15</v>
      </c>
      <c r="E23" t="s">
        <v>37</v>
      </c>
      <c r="F23">
        <v>90430</v>
      </c>
      <c r="G23">
        <f>+YEAR(Tabla__192.168.1.8_POSEIDONSQL_APPFVT_01_SQLFacturasRendidas[[#This Row],[f_facturacion]])</f>
        <v>2018</v>
      </c>
      <c r="H2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23">
        <f>+IF(Tabla__192.168.1.8_POSEIDONSQL_APPFVT_01_SQLFacturasRendidas[[#This Row],[epc_nombre]]="RENDIDA",1,0)</f>
        <v>1</v>
      </c>
      <c r="J23">
        <f>+IF(Tabla__192.168.1.8_POSEIDONSQL_APPFVT_01_SQLFacturasRendidas[[#This Row],[usu_codigo]]="","",1)</f>
        <v>1</v>
      </c>
    </row>
    <row r="24" spans="1:10" x14ac:dyDescent="0.25">
      <c r="A24">
        <v>1</v>
      </c>
      <c r="B24">
        <v>3</v>
      </c>
      <c r="C24" t="s">
        <v>81</v>
      </c>
      <c r="D24" t="s">
        <v>15</v>
      </c>
      <c r="E24" t="s">
        <v>37</v>
      </c>
      <c r="F24">
        <v>90431</v>
      </c>
      <c r="G24">
        <f>+YEAR(Tabla__192.168.1.8_POSEIDONSQL_APPFVT_01_SQLFacturasRendidas[[#This Row],[f_facturacion]])</f>
        <v>2018</v>
      </c>
      <c r="H2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24">
        <f>+IF(Tabla__192.168.1.8_POSEIDONSQL_APPFVT_01_SQLFacturasRendidas[[#This Row],[epc_nombre]]="RENDIDA",1,0)</f>
        <v>1</v>
      </c>
      <c r="J24">
        <f>+IF(Tabla__192.168.1.8_POSEIDONSQL_APPFVT_01_SQLFacturasRendidas[[#This Row],[usu_codigo]]="","",1)</f>
        <v>1</v>
      </c>
    </row>
    <row r="25" spans="1:10" x14ac:dyDescent="0.25">
      <c r="A25">
        <v>1</v>
      </c>
      <c r="B25">
        <v>3</v>
      </c>
      <c r="C25" t="s">
        <v>81</v>
      </c>
      <c r="D25" t="s">
        <v>15</v>
      </c>
      <c r="E25" t="s">
        <v>37</v>
      </c>
      <c r="F25">
        <v>90432</v>
      </c>
      <c r="G25">
        <f>+YEAR(Tabla__192.168.1.8_POSEIDONSQL_APPFVT_01_SQLFacturasRendidas[[#This Row],[f_facturacion]])</f>
        <v>2018</v>
      </c>
      <c r="H2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25">
        <f>+IF(Tabla__192.168.1.8_POSEIDONSQL_APPFVT_01_SQLFacturasRendidas[[#This Row],[epc_nombre]]="RENDIDA",1,0)</f>
        <v>1</v>
      </c>
      <c r="J25">
        <f>+IF(Tabla__192.168.1.8_POSEIDONSQL_APPFVT_01_SQLFacturasRendidas[[#This Row],[usu_codigo]]="","",1)</f>
        <v>1</v>
      </c>
    </row>
    <row r="26" spans="1:10" x14ac:dyDescent="0.25">
      <c r="A26">
        <v>1</v>
      </c>
      <c r="B26">
        <v>3</v>
      </c>
      <c r="C26" t="s">
        <v>81</v>
      </c>
      <c r="D26" t="s">
        <v>15</v>
      </c>
      <c r="E26" t="s">
        <v>37</v>
      </c>
      <c r="F26">
        <v>90433</v>
      </c>
      <c r="G26">
        <f>+YEAR(Tabla__192.168.1.8_POSEIDONSQL_APPFVT_01_SQLFacturasRendidas[[#This Row],[f_facturacion]])</f>
        <v>2018</v>
      </c>
      <c r="H2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26">
        <f>+IF(Tabla__192.168.1.8_POSEIDONSQL_APPFVT_01_SQLFacturasRendidas[[#This Row],[epc_nombre]]="RENDIDA",1,0)</f>
        <v>1</v>
      </c>
      <c r="J26">
        <f>+IF(Tabla__192.168.1.8_POSEIDONSQL_APPFVT_01_SQLFacturasRendidas[[#This Row],[usu_codigo]]="","",1)</f>
        <v>1</v>
      </c>
    </row>
    <row r="27" spans="1:10" x14ac:dyDescent="0.25">
      <c r="A27">
        <v>1</v>
      </c>
      <c r="B27">
        <v>3</v>
      </c>
      <c r="C27" t="s">
        <v>81</v>
      </c>
      <c r="D27" t="s">
        <v>15</v>
      </c>
      <c r="E27" t="s">
        <v>37</v>
      </c>
      <c r="F27">
        <v>90434</v>
      </c>
      <c r="G27">
        <f>+YEAR(Tabla__192.168.1.8_POSEIDONSQL_APPFVT_01_SQLFacturasRendidas[[#This Row],[f_facturacion]])</f>
        <v>2018</v>
      </c>
      <c r="H2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27">
        <f>+IF(Tabla__192.168.1.8_POSEIDONSQL_APPFVT_01_SQLFacturasRendidas[[#This Row],[epc_nombre]]="RENDIDA",1,0)</f>
        <v>1</v>
      </c>
      <c r="J27">
        <f>+IF(Tabla__192.168.1.8_POSEIDONSQL_APPFVT_01_SQLFacturasRendidas[[#This Row],[usu_codigo]]="","",1)</f>
        <v>1</v>
      </c>
    </row>
    <row r="28" spans="1:10" x14ac:dyDescent="0.25">
      <c r="A28">
        <v>1</v>
      </c>
      <c r="B28">
        <v>3</v>
      </c>
      <c r="C28" t="s">
        <v>81</v>
      </c>
      <c r="D28" t="s">
        <v>15</v>
      </c>
      <c r="E28" t="s">
        <v>38</v>
      </c>
      <c r="F28">
        <v>90435</v>
      </c>
      <c r="G28">
        <f>+YEAR(Tabla__192.168.1.8_POSEIDONSQL_APPFVT_01_SQLFacturasRendidas[[#This Row],[f_facturacion]])</f>
        <v>2018</v>
      </c>
      <c r="H2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28">
        <f>+IF(Tabla__192.168.1.8_POSEIDONSQL_APPFVT_01_SQLFacturasRendidas[[#This Row],[epc_nombre]]="RENDIDA",1,0)</f>
        <v>1</v>
      </c>
      <c r="J28">
        <f>+IF(Tabla__192.168.1.8_POSEIDONSQL_APPFVT_01_SQLFacturasRendidas[[#This Row],[usu_codigo]]="","",1)</f>
        <v>1</v>
      </c>
    </row>
    <row r="29" spans="1:10" x14ac:dyDescent="0.25">
      <c r="A29">
        <v>1</v>
      </c>
      <c r="B29">
        <v>3</v>
      </c>
      <c r="C29" t="s">
        <v>81</v>
      </c>
      <c r="D29" t="s">
        <v>15</v>
      </c>
      <c r="E29" t="s">
        <v>38</v>
      </c>
      <c r="F29">
        <v>90436</v>
      </c>
      <c r="G29">
        <f>+YEAR(Tabla__192.168.1.8_POSEIDONSQL_APPFVT_01_SQLFacturasRendidas[[#This Row],[f_facturacion]])</f>
        <v>2018</v>
      </c>
      <c r="H2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29">
        <f>+IF(Tabla__192.168.1.8_POSEIDONSQL_APPFVT_01_SQLFacturasRendidas[[#This Row],[epc_nombre]]="RENDIDA",1,0)</f>
        <v>1</v>
      </c>
      <c r="J29">
        <f>+IF(Tabla__192.168.1.8_POSEIDONSQL_APPFVT_01_SQLFacturasRendidas[[#This Row],[usu_codigo]]="","",1)</f>
        <v>1</v>
      </c>
    </row>
    <row r="30" spans="1:10" x14ac:dyDescent="0.25">
      <c r="A30">
        <v>1</v>
      </c>
      <c r="B30">
        <v>3</v>
      </c>
      <c r="C30" t="s">
        <v>81</v>
      </c>
      <c r="D30" t="s">
        <v>15</v>
      </c>
      <c r="E30" t="s">
        <v>38</v>
      </c>
      <c r="F30">
        <v>90437</v>
      </c>
      <c r="G30">
        <f>+YEAR(Tabla__192.168.1.8_POSEIDONSQL_APPFVT_01_SQLFacturasRendidas[[#This Row],[f_facturacion]])</f>
        <v>2018</v>
      </c>
      <c r="H3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30">
        <f>+IF(Tabla__192.168.1.8_POSEIDONSQL_APPFVT_01_SQLFacturasRendidas[[#This Row],[epc_nombre]]="RENDIDA",1,0)</f>
        <v>1</v>
      </c>
      <c r="J30">
        <f>+IF(Tabla__192.168.1.8_POSEIDONSQL_APPFVT_01_SQLFacturasRendidas[[#This Row],[usu_codigo]]="","",1)</f>
        <v>1</v>
      </c>
    </row>
    <row r="31" spans="1:10" x14ac:dyDescent="0.25">
      <c r="A31">
        <v>1</v>
      </c>
      <c r="B31">
        <v>3</v>
      </c>
      <c r="C31" t="s">
        <v>81</v>
      </c>
      <c r="D31" t="s">
        <v>15</v>
      </c>
      <c r="E31" t="s">
        <v>38</v>
      </c>
      <c r="F31">
        <v>90438</v>
      </c>
      <c r="G31">
        <f>+YEAR(Tabla__192.168.1.8_POSEIDONSQL_APPFVT_01_SQLFacturasRendidas[[#This Row],[f_facturacion]])</f>
        <v>2018</v>
      </c>
      <c r="H3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31">
        <f>+IF(Tabla__192.168.1.8_POSEIDONSQL_APPFVT_01_SQLFacturasRendidas[[#This Row],[epc_nombre]]="RENDIDA",1,0)</f>
        <v>1</v>
      </c>
      <c r="J31">
        <f>+IF(Tabla__192.168.1.8_POSEIDONSQL_APPFVT_01_SQLFacturasRendidas[[#This Row],[usu_codigo]]="","",1)</f>
        <v>1</v>
      </c>
    </row>
    <row r="32" spans="1:10" x14ac:dyDescent="0.25">
      <c r="A32">
        <v>1</v>
      </c>
      <c r="B32">
        <v>3</v>
      </c>
      <c r="C32" t="s">
        <v>81</v>
      </c>
      <c r="D32" t="s">
        <v>15</v>
      </c>
      <c r="E32" t="s">
        <v>38</v>
      </c>
      <c r="F32">
        <v>90439</v>
      </c>
      <c r="G32">
        <f>+YEAR(Tabla__192.168.1.8_POSEIDONSQL_APPFVT_01_SQLFacturasRendidas[[#This Row],[f_facturacion]])</f>
        <v>2018</v>
      </c>
      <c r="H3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32">
        <f>+IF(Tabla__192.168.1.8_POSEIDONSQL_APPFVT_01_SQLFacturasRendidas[[#This Row],[epc_nombre]]="RENDIDA",1,0)</f>
        <v>1</v>
      </c>
      <c r="J32">
        <f>+IF(Tabla__192.168.1.8_POSEIDONSQL_APPFVT_01_SQLFacturasRendidas[[#This Row],[usu_codigo]]="","",1)</f>
        <v>1</v>
      </c>
    </row>
    <row r="33" spans="1:10" x14ac:dyDescent="0.25">
      <c r="A33">
        <v>1</v>
      </c>
      <c r="B33">
        <v>3</v>
      </c>
      <c r="C33" t="s">
        <v>81</v>
      </c>
      <c r="D33" t="s">
        <v>15</v>
      </c>
      <c r="E33" t="s">
        <v>38</v>
      </c>
      <c r="F33">
        <v>90440</v>
      </c>
      <c r="G33">
        <f>+YEAR(Tabla__192.168.1.8_POSEIDONSQL_APPFVT_01_SQLFacturasRendidas[[#This Row],[f_facturacion]])</f>
        <v>2018</v>
      </c>
      <c r="H3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33">
        <f>+IF(Tabla__192.168.1.8_POSEIDONSQL_APPFVT_01_SQLFacturasRendidas[[#This Row],[epc_nombre]]="RENDIDA",1,0)</f>
        <v>1</v>
      </c>
      <c r="J33">
        <f>+IF(Tabla__192.168.1.8_POSEIDONSQL_APPFVT_01_SQLFacturasRendidas[[#This Row],[usu_codigo]]="","",1)</f>
        <v>1</v>
      </c>
    </row>
    <row r="34" spans="1:10" x14ac:dyDescent="0.25">
      <c r="A34">
        <v>1</v>
      </c>
      <c r="B34">
        <v>3</v>
      </c>
      <c r="C34" t="s">
        <v>81</v>
      </c>
      <c r="D34" t="s">
        <v>15</v>
      </c>
      <c r="E34" t="s">
        <v>38</v>
      </c>
      <c r="F34">
        <v>90441</v>
      </c>
      <c r="G34">
        <f>+YEAR(Tabla__192.168.1.8_POSEIDONSQL_APPFVT_01_SQLFacturasRendidas[[#This Row],[f_facturacion]])</f>
        <v>2018</v>
      </c>
      <c r="H3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34">
        <f>+IF(Tabla__192.168.1.8_POSEIDONSQL_APPFVT_01_SQLFacturasRendidas[[#This Row],[epc_nombre]]="RENDIDA",1,0)</f>
        <v>1</v>
      </c>
      <c r="J34">
        <f>+IF(Tabla__192.168.1.8_POSEIDONSQL_APPFVT_01_SQLFacturasRendidas[[#This Row],[usu_codigo]]="","",1)</f>
        <v>1</v>
      </c>
    </row>
    <row r="35" spans="1:10" x14ac:dyDescent="0.25">
      <c r="A35">
        <v>1</v>
      </c>
      <c r="B35">
        <v>3</v>
      </c>
      <c r="C35" t="s">
        <v>81</v>
      </c>
      <c r="D35" t="s">
        <v>15</v>
      </c>
      <c r="E35" t="s">
        <v>38</v>
      </c>
      <c r="F35">
        <v>90443</v>
      </c>
      <c r="G35">
        <f>+YEAR(Tabla__192.168.1.8_POSEIDONSQL_APPFVT_01_SQLFacturasRendidas[[#This Row],[f_facturacion]])</f>
        <v>2018</v>
      </c>
      <c r="H3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35">
        <f>+IF(Tabla__192.168.1.8_POSEIDONSQL_APPFVT_01_SQLFacturasRendidas[[#This Row],[epc_nombre]]="RENDIDA",1,0)</f>
        <v>1</v>
      </c>
      <c r="J35">
        <f>+IF(Tabla__192.168.1.8_POSEIDONSQL_APPFVT_01_SQLFacturasRendidas[[#This Row],[usu_codigo]]="","",1)</f>
        <v>1</v>
      </c>
    </row>
    <row r="36" spans="1:10" x14ac:dyDescent="0.25">
      <c r="A36">
        <v>1</v>
      </c>
      <c r="B36">
        <v>3</v>
      </c>
      <c r="C36" t="s">
        <v>81</v>
      </c>
      <c r="D36" t="s">
        <v>15</v>
      </c>
      <c r="E36" t="s">
        <v>38</v>
      </c>
      <c r="F36">
        <v>90444</v>
      </c>
      <c r="G36">
        <f>+YEAR(Tabla__192.168.1.8_POSEIDONSQL_APPFVT_01_SQLFacturasRendidas[[#This Row],[f_facturacion]])</f>
        <v>2018</v>
      </c>
      <c r="H3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36">
        <f>+IF(Tabla__192.168.1.8_POSEIDONSQL_APPFVT_01_SQLFacturasRendidas[[#This Row],[epc_nombre]]="RENDIDA",1,0)</f>
        <v>1</v>
      </c>
      <c r="J36">
        <f>+IF(Tabla__192.168.1.8_POSEIDONSQL_APPFVT_01_SQLFacturasRendidas[[#This Row],[usu_codigo]]="","",1)</f>
        <v>1</v>
      </c>
    </row>
    <row r="37" spans="1:10" x14ac:dyDescent="0.25">
      <c r="A37">
        <v>1</v>
      </c>
      <c r="B37">
        <v>3</v>
      </c>
      <c r="C37" t="s">
        <v>81</v>
      </c>
      <c r="D37" t="s">
        <v>15</v>
      </c>
      <c r="E37" t="s">
        <v>38</v>
      </c>
      <c r="F37">
        <v>90445</v>
      </c>
      <c r="G37">
        <f>+YEAR(Tabla__192.168.1.8_POSEIDONSQL_APPFVT_01_SQLFacturasRendidas[[#This Row],[f_facturacion]])</f>
        <v>2018</v>
      </c>
      <c r="H3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37">
        <f>+IF(Tabla__192.168.1.8_POSEIDONSQL_APPFVT_01_SQLFacturasRendidas[[#This Row],[epc_nombre]]="RENDIDA",1,0)</f>
        <v>1</v>
      </c>
      <c r="J37">
        <f>+IF(Tabla__192.168.1.8_POSEIDONSQL_APPFVT_01_SQLFacturasRendidas[[#This Row],[usu_codigo]]="","",1)</f>
        <v>1</v>
      </c>
    </row>
    <row r="38" spans="1:10" x14ac:dyDescent="0.25">
      <c r="A38">
        <v>1</v>
      </c>
      <c r="B38">
        <v>3</v>
      </c>
      <c r="C38" t="s">
        <v>81</v>
      </c>
      <c r="D38" t="s">
        <v>15</v>
      </c>
      <c r="E38" t="s">
        <v>38</v>
      </c>
      <c r="F38">
        <v>90446</v>
      </c>
      <c r="G38">
        <f>+YEAR(Tabla__192.168.1.8_POSEIDONSQL_APPFVT_01_SQLFacturasRendidas[[#This Row],[f_facturacion]])</f>
        <v>2018</v>
      </c>
      <c r="H3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38">
        <f>+IF(Tabla__192.168.1.8_POSEIDONSQL_APPFVT_01_SQLFacturasRendidas[[#This Row],[epc_nombre]]="RENDIDA",1,0)</f>
        <v>1</v>
      </c>
      <c r="J38">
        <f>+IF(Tabla__192.168.1.8_POSEIDONSQL_APPFVT_01_SQLFacturasRendidas[[#This Row],[usu_codigo]]="","",1)</f>
        <v>1</v>
      </c>
    </row>
    <row r="39" spans="1:10" x14ac:dyDescent="0.25">
      <c r="A39">
        <v>1</v>
      </c>
      <c r="B39">
        <v>3</v>
      </c>
      <c r="C39" t="s">
        <v>81</v>
      </c>
      <c r="D39" t="s">
        <v>15</v>
      </c>
      <c r="E39" t="s">
        <v>39</v>
      </c>
      <c r="F39">
        <v>90474</v>
      </c>
      <c r="G39">
        <f>+YEAR(Tabla__192.168.1.8_POSEIDONSQL_APPFVT_01_SQLFacturasRendidas[[#This Row],[f_facturacion]])</f>
        <v>2018</v>
      </c>
      <c r="H3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39">
        <f>+IF(Tabla__192.168.1.8_POSEIDONSQL_APPFVT_01_SQLFacturasRendidas[[#This Row],[epc_nombre]]="RENDIDA",1,0)</f>
        <v>1</v>
      </c>
      <c r="J39">
        <f>+IF(Tabla__192.168.1.8_POSEIDONSQL_APPFVT_01_SQLFacturasRendidas[[#This Row],[usu_codigo]]="","",1)</f>
        <v>1</v>
      </c>
    </row>
    <row r="40" spans="1:10" x14ac:dyDescent="0.25">
      <c r="A40">
        <v>1</v>
      </c>
      <c r="B40">
        <v>3</v>
      </c>
      <c r="C40" t="s">
        <v>81</v>
      </c>
      <c r="D40" t="s">
        <v>15</v>
      </c>
      <c r="E40" t="s">
        <v>39</v>
      </c>
      <c r="F40">
        <v>90475</v>
      </c>
      <c r="G40">
        <f>+YEAR(Tabla__192.168.1.8_POSEIDONSQL_APPFVT_01_SQLFacturasRendidas[[#This Row],[f_facturacion]])</f>
        <v>2018</v>
      </c>
      <c r="H4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0">
        <f>+IF(Tabla__192.168.1.8_POSEIDONSQL_APPFVT_01_SQLFacturasRendidas[[#This Row],[epc_nombre]]="RENDIDA",1,0)</f>
        <v>1</v>
      </c>
      <c r="J40">
        <f>+IF(Tabla__192.168.1.8_POSEIDONSQL_APPFVT_01_SQLFacturasRendidas[[#This Row],[usu_codigo]]="","",1)</f>
        <v>1</v>
      </c>
    </row>
    <row r="41" spans="1:10" x14ac:dyDescent="0.25">
      <c r="A41">
        <v>1</v>
      </c>
      <c r="B41">
        <v>3</v>
      </c>
      <c r="C41" t="s">
        <v>81</v>
      </c>
      <c r="D41" t="s">
        <v>15</v>
      </c>
      <c r="E41" t="s">
        <v>42</v>
      </c>
      <c r="F41">
        <v>91076</v>
      </c>
      <c r="G41">
        <f>+YEAR(Tabla__192.168.1.8_POSEIDONSQL_APPFVT_01_SQLFacturasRendidas[[#This Row],[f_facturacion]])</f>
        <v>2018</v>
      </c>
      <c r="H4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1">
        <f>+IF(Tabla__192.168.1.8_POSEIDONSQL_APPFVT_01_SQLFacturasRendidas[[#This Row],[epc_nombre]]="RENDIDA",1,0)</f>
        <v>1</v>
      </c>
      <c r="J41">
        <f>+IF(Tabla__192.168.1.8_POSEIDONSQL_APPFVT_01_SQLFacturasRendidas[[#This Row],[usu_codigo]]="","",1)</f>
        <v>1</v>
      </c>
    </row>
    <row r="42" spans="1:10" x14ac:dyDescent="0.25">
      <c r="A42">
        <v>1</v>
      </c>
      <c r="B42">
        <v>3</v>
      </c>
      <c r="C42" t="s">
        <v>81</v>
      </c>
      <c r="D42" t="s">
        <v>15</v>
      </c>
      <c r="E42" t="s">
        <v>42</v>
      </c>
      <c r="F42">
        <v>91077</v>
      </c>
      <c r="G42">
        <f>+YEAR(Tabla__192.168.1.8_POSEIDONSQL_APPFVT_01_SQLFacturasRendidas[[#This Row],[f_facturacion]])</f>
        <v>2018</v>
      </c>
      <c r="H4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2">
        <f>+IF(Tabla__192.168.1.8_POSEIDONSQL_APPFVT_01_SQLFacturasRendidas[[#This Row],[epc_nombre]]="RENDIDA",1,0)</f>
        <v>1</v>
      </c>
      <c r="J42">
        <f>+IF(Tabla__192.168.1.8_POSEIDONSQL_APPFVT_01_SQLFacturasRendidas[[#This Row],[usu_codigo]]="","",1)</f>
        <v>1</v>
      </c>
    </row>
    <row r="43" spans="1:10" x14ac:dyDescent="0.25">
      <c r="A43">
        <v>1</v>
      </c>
      <c r="B43">
        <v>3</v>
      </c>
      <c r="C43" t="s">
        <v>81</v>
      </c>
      <c r="D43" t="s">
        <v>15</v>
      </c>
      <c r="E43" t="s">
        <v>42</v>
      </c>
      <c r="F43">
        <v>91078</v>
      </c>
      <c r="G43">
        <f>+YEAR(Tabla__192.168.1.8_POSEIDONSQL_APPFVT_01_SQLFacturasRendidas[[#This Row],[f_facturacion]])</f>
        <v>2018</v>
      </c>
      <c r="H4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3">
        <f>+IF(Tabla__192.168.1.8_POSEIDONSQL_APPFVT_01_SQLFacturasRendidas[[#This Row],[epc_nombre]]="RENDIDA",1,0)</f>
        <v>1</v>
      </c>
      <c r="J43">
        <f>+IF(Tabla__192.168.1.8_POSEIDONSQL_APPFVT_01_SQLFacturasRendidas[[#This Row],[usu_codigo]]="","",1)</f>
        <v>1</v>
      </c>
    </row>
    <row r="44" spans="1:10" x14ac:dyDescent="0.25">
      <c r="A44">
        <v>1</v>
      </c>
      <c r="B44">
        <v>3</v>
      </c>
      <c r="C44" t="s">
        <v>81</v>
      </c>
      <c r="D44" t="s">
        <v>15</v>
      </c>
      <c r="E44" t="s">
        <v>42</v>
      </c>
      <c r="F44">
        <v>91079</v>
      </c>
      <c r="G44">
        <f>+YEAR(Tabla__192.168.1.8_POSEIDONSQL_APPFVT_01_SQLFacturasRendidas[[#This Row],[f_facturacion]])</f>
        <v>2018</v>
      </c>
      <c r="H4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4">
        <f>+IF(Tabla__192.168.1.8_POSEIDONSQL_APPFVT_01_SQLFacturasRendidas[[#This Row],[epc_nombre]]="RENDIDA",1,0)</f>
        <v>1</v>
      </c>
      <c r="J44">
        <f>+IF(Tabla__192.168.1.8_POSEIDONSQL_APPFVT_01_SQLFacturasRendidas[[#This Row],[usu_codigo]]="","",1)</f>
        <v>1</v>
      </c>
    </row>
    <row r="45" spans="1:10" x14ac:dyDescent="0.25">
      <c r="A45">
        <v>1</v>
      </c>
      <c r="B45">
        <v>3</v>
      </c>
      <c r="C45" t="s">
        <v>81</v>
      </c>
      <c r="D45" t="s">
        <v>15</v>
      </c>
      <c r="E45" t="s">
        <v>42</v>
      </c>
      <c r="F45">
        <v>91080</v>
      </c>
      <c r="G45">
        <f>+YEAR(Tabla__192.168.1.8_POSEIDONSQL_APPFVT_01_SQLFacturasRendidas[[#This Row],[f_facturacion]])</f>
        <v>2018</v>
      </c>
      <c r="H4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5">
        <f>+IF(Tabla__192.168.1.8_POSEIDONSQL_APPFVT_01_SQLFacturasRendidas[[#This Row],[epc_nombre]]="RENDIDA",1,0)</f>
        <v>1</v>
      </c>
      <c r="J45">
        <f>+IF(Tabla__192.168.1.8_POSEIDONSQL_APPFVT_01_SQLFacturasRendidas[[#This Row],[usu_codigo]]="","",1)</f>
        <v>1</v>
      </c>
    </row>
    <row r="46" spans="1:10" x14ac:dyDescent="0.25">
      <c r="A46">
        <v>1</v>
      </c>
      <c r="B46">
        <v>3</v>
      </c>
      <c r="C46" t="s">
        <v>81</v>
      </c>
      <c r="D46" t="s">
        <v>15</v>
      </c>
      <c r="E46" t="s">
        <v>42</v>
      </c>
      <c r="F46">
        <v>91081</v>
      </c>
      <c r="G46">
        <f>+YEAR(Tabla__192.168.1.8_POSEIDONSQL_APPFVT_01_SQLFacturasRendidas[[#This Row],[f_facturacion]])</f>
        <v>2018</v>
      </c>
      <c r="H4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6">
        <f>+IF(Tabla__192.168.1.8_POSEIDONSQL_APPFVT_01_SQLFacturasRendidas[[#This Row],[epc_nombre]]="RENDIDA",1,0)</f>
        <v>1</v>
      </c>
      <c r="J46">
        <f>+IF(Tabla__192.168.1.8_POSEIDONSQL_APPFVT_01_SQLFacturasRendidas[[#This Row],[usu_codigo]]="","",1)</f>
        <v>1</v>
      </c>
    </row>
    <row r="47" spans="1:10" x14ac:dyDescent="0.25">
      <c r="A47">
        <v>1</v>
      </c>
      <c r="B47">
        <v>3</v>
      </c>
      <c r="C47" t="s">
        <v>81</v>
      </c>
      <c r="D47" t="s">
        <v>15</v>
      </c>
      <c r="E47" t="s">
        <v>42</v>
      </c>
      <c r="F47">
        <v>91082</v>
      </c>
      <c r="G47">
        <f>+YEAR(Tabla__192.168.1.8_POSEIDONSQL_APPFVT_01_SQLFacturasRendidas[[#This Row],[f_facturacion]])</f>
        <v>2018</v>
      </c>
      <c r="H4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7">
        <f>+IF(Tabla__192.168.1.8_POSEIDONSQL_APPFVT_01_SQLFacturasRendidas[[#This Row],[epc_nombre]]="RENDIDA",1,0)</f>
        <v>1</v>
      </c>
      <c r="J47">
        <f>+IF(Tabla__192.168.1.8_POSEIDONSQL_APPFVT_01_SQLFacturasRendidas[[#This Row],[usu_codigo]]="","",1)</f>
        <v>1</v>
      </c>
    </row>
    <row r="48" spans="1:10" x14ac:dyDescent="0.25">
      <c r="A48">
        <v>1</v>
      </c>
      <c r="B48">
        <v>3</v>
      </c>
      <c r="C48" t="s">
        <v>81</v>
      </c>
      <c r="D48" t="s">
        <v>15</v>
      </c>
      <c r="E48" t="s">
        <v>42</v>
      </c>
      <c r="F48">
        <v>91083</v>
      </c>
      <c r="G48">
        <f>+YEAR(Tabla__192.168.1.8_POSEIDONSQL_APPFVT_01_SQLFacturasRendidas[[#This Row],[f_facturacion]])</f>
        <v>2018</v>
      </c>
      <c r="H4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8">
        <f>+IF(Tabla__192.168.1.8_POSEIDONSQL_APPFVT_01_SQLFacturasRendidas[[#This Row],[epc_nombre]]="RENDIDA",1,0)</f>
        <v>1</v>
      </c>
      <c r="J48">
        <f>+IF(Tabla__192.168.1.8_POSEIDONSQL_APPFVT_01_SQLFacturasRendidas[[#This Row],[usu_codigo]]="","",1)</f>
        <v>1</v>
      </c>
    </row>
    <row r="49" spans="1:10" x14ac:dyDescent="0.25">
      <c r="A49">
        <v>1</v>
      </c>
      <c r="B49">
        <v>3</v>
      </c>
      <c r="C49" t="s">
        <v>81</v>
      </c>
      <c r="D49" t="s">
        <v>15</v>
      </c>
      <c r="E49" t="s">
        <v>42</v>
      </c>
      <c r="F49">
        <v>91084</v>
      </c>
      <c r="G49">
        <f>+YEAR(Tabla__192.168.1.8_POSEIDONSQL_APPFVT_01_SQLFacturasRendidas[[#This Row],[f_facturacion]])</f>
        <v>2018</v>
      </c>
      <c r="H4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9">
        <f>+IF(Tabla__192.168.1.8_POSEIDONSQL_APPFVT_01_SQLFacturasRendidas[[#This Row],[epc_nombre]]="RENDIDA",1,0)</f>
        <v>1</v>
      </c>
      <c r="J49">
        <f>+IF(Tabla__192.168.1.8_POSEIDONSQL_APPFVT_01_SQLFacturasRendidas[[#This Row],[usu_codigo]]="","",1)</f>
        <v>1</v>
      </c>
    </row>
    <row r="50" spans="1:10" x14ac:dyDescent="0.25">
      <c r="A50">
        <v>1</v>
      </c>
      <c r="B50">
        <v>3</v>
      </c>
      <c r="C50" t="s">
        <v>81</v>
      </c>
      <c r="D50" t="s">
        <v>15</v>
      </c>
      <c r="E50" t="s">
        <v>42</v>
      </c>
      <c r="F50">
        <v>91085</v>
      </c>
      <c r="G50">
        <f>+YEAR(Tabla__192.168.1.8_POSEIDONSQL_APPFVT_01_SQLFacturasRendidas[[#This Row],[f_facturacion]])</f>
        <v>2018</v>
      </c>
      <c r="H5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50">
        <f>+IF(Tabla__192.168.1.8_POSEIDONSQL_APPFVT_01_SQLFacturasRendidas[[#This Row],[epc_nombre]]="RENDIDA",1,0)</f>
        <v>1</v>
      </c>
      <c r="J50">
        <f>+IF(Tabla__192.168.1.8_POSEIDONSQL_APPFVT_01_SQLFacturasRendidas[[#This Row],[usu_codigo]]="","",1)</f>
        <v>1</v>
      </c>
    </row>
    <row r="51" spans="1:10" x14ac:dyDescent="0.25">
      <c r="A51">
        <v>1</v>
      </c>
      <c r="B51">
        <v>3</v>
      </c>
      <c r="C51" t="s">
        <v>81</v>
      </c>
      <c r="D51" t="s">
        <v>15</v>
      </c>
      <c r="E51" t="s">
        <v>43</v>
      </c>
      <c r="F51">
        <v>91176</v>
      </c>
      <c r="G51">
        <f>+YEAR(Tabla__192.168.1.8_POSEIDONSQL_APPFVT_01_SQLFacturasRendidas[[#This Row],[f_facturacion]])</f>
        <v>2018</v>
      </c>
      <c r="H5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51">
        <f>+IF(Tabla__192.168.1.8_POSEIDONSQL_APPFVT_01_SQLFacturasRendidas[[#This Row],[epc_nombre]]="RENDIDA",1,0)</f>
        <v>1</v>
      </c>
      <c r="J51">
        <f>+IF(Tabla__192.168.1.8_POSEIDONSQL_APPFVT_01_SQLFacturasRendidas[[#This Row],[usu_codigo]]="","",1)</f>
        <v>1</v>
      </c>
    </row>
    <row r="52" spans="1:10" x14ac:dyDescent="0.25">
      <c r="A52">
        <v>1</v>
      </c>
      <c r="B52">
        <v>3</v>
      </c>
      <c r="C52" t="s">
        <v>81</v>
      </c>
      <c r="D52" t="s">
        <v>15</v>
      </c>
      <c r="E52" t="s">
        <v>43</v>
      </c>
      <c r="F52">
        <v>91177</v>
      </c>
      <c r="G52">
        <f>+YEAR(Tabla__192.168.1.8_POSEIDONSQL_APPFVT_01_SQLFacturasRendidas[[#This Row],[f_facturacion]])</f>
        <v>2018</v>
      </c>
      <c r="H5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52">
        <f>+IF(Tabla__192.168.1.8_POSEIDONSQL_APPFVT_01_SQLFacturasRendidas[[#This Row],[epc_nombre]]="RENDIDA",1,0)</f>
        <v>1</v>
      </c>
      <c r="J52">
        <f>+IF(Tabla__192.168.1.8_POSEIDONSQL_APPFVT_01_SQLFacturasRendidas[[#This Row],[usu_codigo]]="","",1)</f>
        <v>1</v>
      </c>
    </row>
    <row r="53" spans="1:10" x14ac:dyDescent="0.25">
      <c r="A53">
        <v>1</v>
      </c>
      <c r="B53">
        <v>3</v>
      </c>
      <c r="C53" t="s">
        <v>81</v>
      </c>
      <c r="D53" t="s">
        <v>15</v>
      </c>
      <c r="E53" t="s">
        <v>43</v>
      </c>
      <c r="F53">
        <v>91178</v>
      </c>
      <c r="G53">
        <f>+YEAR(Tabla__192.168.1.8_POSEIDONSQL_APPFVT_01_SQLFacturasRendidas[[#This Row],[f_facturacion]])</f>
        <v>2018</v>
      </c>
      <c r="H5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53">
        <f>+IF(Tabla__192.168.1.8_POSEIDONSQL_APPFVT_01_SQLFacturasRendidas[[#This Row],[epc_nombre]]="RENDIDA",1,0)</f>
        <v>1</v>
      </c>
      <c r="J53">
        <f>+IF(Tabla__192.168.1.8_POSEIDONSQL_APPFVT_01_SQLFacturasRendidas[[#This Row],[usu_codigo]]="","",1)</f>
        <v>1</v>
      </c>
    </row>
    <row r="54" spans="1:10" x14ac:dyDescent="0.25">
      <c r="A54">
        <v>1</v>
      </c>
      <c r="B54">
        <v>3</v>
      </c>
      <c r="C54" t="s">
        <v>81</v>
      </c>
      <c r="D54" t="s">
        <v>15</v>
      </c>
      <c r="E54" t="s">
        <v>43</v>
      </c>
      <c r="F54">
        <v>91179</v>
      </c>
      <c r="G54">
        <f>+YEAR(Tabla__192.168.1.8_POSEIDONSQL_APPFVT_01_SQLFacturasRendidas[[#This Row],[f_facturacion]])</f>
        <v>2018</v>
      </c>
      <c r="H5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54">
        <f>+IF(Tabla__192.168.1.8_POSEIDONSQL_APPFVT_01_SQLFacturasRendidas[[#This Row],[epc_nombre]]="RENDIDA",1,0)</f>
        <v>1</v>
      </c>
      <c r="J54">
        <f>+IF(Tabla__192.168.1.8_POSEIDONSQL_APPFVT_01_SQLFacturasRendidas[[#This Row],[usu_codigo]]="","",1)</f>
        <v>1</v>
      </c>
    </row>
    <row r="55" spans="1:10" x14ac:dyDescent="0.25">
      <c r="A55">
        <v>1</v>
      </c>
      <c r="B55">
        <v>3</v>
      </c>
      <c r="C55" t="s">
        <v>81</v>
      </c>
      <c r="D55" t="s">
        <v>15</v>
      </c>
      <c r="E55" t="s">
        <v>43</v>
      </c>
      <c r="F55">
        <v>91180</v>
      </c>
      <c r="G55">
        <f>+YEAR(Tabla__192.168.1.8_POSEIDONSQL_APPFVT_01_SQLFacturasRendidas[[#This Row],[f_facturacion]])</f>
        <v>2018</v>
      </c>
      <c r="H5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55">
        <f>+IF(Tabla__192.168.1.8_POSEIDONSQL_APPFVT_01_SQLFacturasRendidas[[#This Row],[epc_nombre]]="RENDIDA",1,0)</f>
        <v>1</v>
      </c>
      <c r="J55">
        <f>+IF(Tabla__192.168.1.8_POSEIDONSQL_APPFVT_01_SQLFacturasRendidas[[#This Row],[usu_codigo]]="","",1)</f>
        <v>1</v>
      </c>
    </row>
    <row r="56" spans="1:10" x14ac:dyDescent="0.25">
      <c r="A56">
        <v>1</v>
      </c>
      <c r="B56">
        <v>3</v>
      </c>
      <c r="C56" t="s">
        <v>81</v>
      </c>
      <c r="D56" t="s">
        <v>15</v>
      </c>
      <c r="E56" t="s">
        <v>43</v>
      </c>
      <c r="F56">
        <v>91181</v>
      </c>
      <c r="G56">
        <f>+YEAR(Tabla__192.168.1.8_POSEIDONSQL_APPFVT_01_SQLFacturasRendidas[[#This Row],[f_facturacion]])</f>
        <v>2018</v>
      </c>
      <c r="H5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56">
        <f>+IF(Tabla__192.168.1.8_POSEIDONSQL_APPFVT_01_SQLFacturasRendidas[[#This Row],[epc_nombre]]="RENDIDA",1,0)</f>
        <v>1</v>
      </c>
      <c r="J56">
        <f>+IF(Tabla__192.168.1.8_POSEIDONSQL_APPFVT_01_SQLFacturasRendidas[[#This Row],[usu_codigo]]="","",1)</f>
        <v>1</v>
      </c>
    </row>
    <row r="57" spans="1:10" x14ac:dyDescent="0.25">
      <c r="A57">
        <v>1</v>
      </c>
      <c r="B57">
        <v>3</v>
      </c>
      <c r="C57" t="s">
        <v>81</v>
      </c>
      <c r="D57" t="s">
        <v>15</v>
      </c>
      <c r="E57" t="s">
        <v>43</v>
      </c>
      <c r="F57">
        <v>91182</v>
      </c>
      <c r="G57">
        <f>+YEAR(Tabla__192.168.1.8_POSEIDONSQL_APPFVT_01_SQLFacturasRendidas[[#This Row],[f_facturacion]])</f>
        <v>2018</v>
      </c>
      <c r="H5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57">
        <f>+IF(Tabla__192.168.1.8_POSEIDONSQL_APPFVT_01_SQLFacturasRendidas[[#This Row],[epc_nombre]]="RENDIDA",1,0)</f>
        <v>1</v>
      </c>
      <c r="J57">
        <f>+IF(Tabla__192.168.1.8_POSEIDONSQL_APPFVT_01_SQLFacturasRendidas[[#This Row],[usu_codigo]]="","",1)</f>
        <v>1</v>
      </c>
    </row>
    <row r="58" spans="1:10" x14ac:dyDescent="0.25">
      <c r="A58">
        <v>1</v>
      </c>
      <c r="B58">
        <v>3</v>
      </c>
      <c r="C58" t="s">
        <v>81</v>
      </c>
      <c r="D58" t="s">
        <v>15</v>
      </c>
      <c r="E58" t="s">
        <v>43</v>
      </c>
      <c r="F58">
        <v>91183</v>
      </c>
      <c r="G58">
        <f>+YEAR(Tabla__192.168.1.8_POSEIDONSQL_APPFVT_01_SQLFacturasRendidas[[#This Row],[f_facturacion]])</f>
        <v>2018</v>
      </c>
      <c r="H5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58">
        <f>+IF(Tabla__192.168.1.8_POSEIDONSQL_APPFVT_01_SQLFacturasRendidas[[#This Row],[epc_nombre]]="RENDIDA",1,0)</f>
        <v>1</v>
      </c>
      <c r="J58">
        <f>+IF(Tabla__192.168.1.8_POSEIDONSQL_APPFVT_01_SQLFacturasRendidas[[#This Row],[usu_codigo]]="","",1)</f>
        <v>1</v>
      </c>
    </row>
    <row r="59" spans="1:10" x14ac:dyDescent="0.25">
      <c r="A59">
        <v>1</v>
      </c>
      <c r="B59">
        <v>3</v>
      </c>
      <c r="C59" t="s">
        <v>81</v>
      </c>
      <c r="D59" t="s">
        <v>15</v>
      </c>
      <c r="E59" t="s">
        <v>43</v>
      </c>
      <c r="F59">
        <v>91184</v>
      </c>
      <c r="G59">
        <f>+YEAR(Tabla__192.168.1.8_POSEIDONSQL_APPFVT_01_SQLFacturasRendidas[[#This Row],[f_facturacion]])</f>
        <v>2018</v>
      </c>
      <c r="H5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59">
        <f>+IF(Tabla__192.168.1.8_POSEIDONSQL_APPFVT_01_SQLFacturasRendidas[[#This Row],[epc_nombre]]="RENDIDA",1,0)</f>
        <v>1</v>
      </c>
      <c r="J59">
        <f>+IF(Tabla__192.168.1.8_POSEIDONSQL_APPFVT_01_SQLFacturasRendidas[[#This Row],[usu_codigo]]="","",1)</f>
        <v>1</v>
      </c>
    </row>
    <row r="60" spans="1:10" x14ac:dyDescent="0.25">
      <c r="A60">
        <v>1</v>
      </c>
      <c r="B60">
        <v>3</v>
      </c>
      <c r="C60" t="s">
        <v>81</v>
      </c>
      <c r="D60" t="s">
        <v>15</v>
      </c>
      <c r="E60" t="s">
        <v>43</v>
      </c>
      <c r="F60">
        <v>91185</v>
      </c>
      <c r="G60">
        <f>+YEAR(Tabla__192.168.1.8_POSEIDONSQL_APPFVT_01_SQLFacturasRendidas[[#This Row],[f_facturacion]])</f>
        <v>2018</v>
      </c>
      <c r="H6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60">
        <f>+IF(Tabla__192.168.1.8_POSEIDONSQL_APPFVT_01_SQLFacturasRendidas[[#This Row],[epc_nombre]]="RENDIDA",1,0)</f>
        <v>1</v>
      </c>
      <c r="J60">
        <f>+IF(Tabla__192.168.1.8_POSEIDONSQL_APPFVT_01_SQLFacturasRendidas[[#This Row],[usu_codigo]]="","",1)</f>
        <v>1</v>
      </c>
    </row>
    <row r="61" spans="1:10" x14ac:dyDescent="0.25">
      <c r="A61">
        <v>1</v>
      </c>
      <c r="B61">
        <v>3</v>
      </c>
      <c r="C61" t="s">
        <v>81</v>
      </c>
      <c r="D61" t="s">
        <v>15</v>
      </c>
      <c r="E61" t="s">
        <v>43</v>
      </c>
      <c r="F61">
        <v>91186</v>
      </c>
      <c r="G61">
        <f>+YEAR(Tabla__192.168.1.8_POSEIDONSQL_APPFVT_01_SQLFacturasRendidas[[#This Row],[f_facturacion]])</f>
        <v>2018</v>
      </c>
      <c r="H6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61">
        <f>+IF(Tabla__192.168.1.8_POSEIDONSQL_APPFVT_01_SQLFacturasRendidas[[#This Row],[epc_nombre]]="RENDIDA",1,0)</f>
        <v>1</v>
      </c>
      <c r="J61">
        <f>+IF(Tabla__192.168.1.8_POSEIDONSQL_APPFVT_01_SQLFacturasRendidas[[#This Row],[usu_codigo]]="","",1)</f>
        <v>1</v>
      </c>
    </row>
    <row r="62" spans="1:10" x14ac:dyDescent="0.25">
      <c r="A62">
        <v>1</v>
      </c>
      <c r="B62">
        <v>3</v>
      </c>
      <c r="C62" t="s">
        <v>81</v>
      </c>
      <c r="D62" t="s">
        <v>15</v>
      </c>
      <c r="E62" t="s">
        <v>43</v>
      </c>
      <c r="F62">
        <v>91187</v>
      </c>
      <c r="G62">
        <f>+YEAR(Tabla__192.168.1.8_POSEIDONSQL_APPFVT_01_SQLFacturasRendidas[[#This Row],[f_facturacion]])</f>
        <v>2018</v>
      </c>
      <c r="H6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62">
        <f>+IF(Tabla__192.168.1.8_POSEIDONSQL_APPFVT_01_SQLFacturasRendidas[[#This Row],[epc_nombre]]="RENDIDA",1,0)</f>
        <v>1</v>
      </c>
      <c r="J62">
        <f>+IF(Tabla__192.168.1.8_POSEIDONSQL_APPFVT_01_SQLFacturasRendidas[[#This Row],[usu_codigo]]="","",1)</f>
        <v>1</v>
      </c>
    </row>
    <row r="63" spans="1:10" x14ac:dyDescent="0.25">
      <c r="A63">
        <v>1</v>
      </c>
      <c r="B63">
        <v>3</v>
      </c>
      <c r="C63" t="s">
        <v>81</v>
      </c>
      <c r="D63" t="s">
        <v>15</v>
      </c>
      <c r="E63" t="s">
        <v>43</v>
      </c>
      <c r="F63">
        <v>91188</v>
      </c>
      <c r="G63">
        <f>+YEAR(Tabla__192.168.1.8_POSEIDONSQL_APPFVT_01_SQLFacturasRendidas[[#This Row],[f_facturacion]])</f>
        <v>2018</v>
      </c>
      <c r="H6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63">
        <f>+IF(Tabla__192.168.1.8_POSEIDONSQL_APPFVT_01_SQLFacturasRendidas[[#This Row],[epc_nombre]]="RENDIDA",1,0)</f>
        <v>1</v>
      </c>
      <c r="J63">
        <f>+IF(Tabla__192.168.1.8_POSEIDONSQL_APPFVT_01_SQLFacturasRendidas[[#This Row],[usu_codigo]]="","",1)</f>
        <v>1</v>
      </c>
    </row>
    <row r="64" spans="1:10" x14ac:dyDescent="0.25">
      <c r="A64">
        <v>1</v>
      </c>
      <c r="B64">
        <v>3</v>
      </c>
      <c r="C64" t="s">
        <v>81</v>
      </c>
      <c r="D64" t="s">
        <v>15</v>
      </c>
      <c r="E64" t="s">
        <v>43</v>
      </c>
      <c r="F64">
        <v>91189</v>
      </c>
      <c r="G64">
        <f>+YEAR(Tabla__192.168.1.8_POSEIDONSQL_APPFVT_01_SQLFacturasRendidas[[#This Row],[f_facturacion]])</f>
        <v>2018</v>
      </c>
      <c r="H6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64">
        <f>+IF(Tabla__192.168.1.8_POSEIDONSQL_APPFVT_01_SQLFacturasRendidas[[#This Row],[epc_nombre]]="RENDIDA",1,0)</f>
        <v>1</v>
      </c>
      <c r="J64">
        <f>+IF(Tabla__192.168.1.8_POSEIDONSQL_APPFVT_01_SQLFacturasRendidas[[#This Row],[usu_codigo]]="","",1)</f>
        <v>1</v>
      </c>
    </row>
    <row r="65" spans="1:10" x14ac:dyDescent="0.25">
      <c r="A65">
        <v>1</v>
      </c>
      <c r="B65">
        <v>3</v>
      </c>
      <c r="C65" t="s">
        <v>81</v>
      </c>
      <c r="D65" t="s">
        <v>15</v>
      </c>
      <c r="E65" t="s">
        <v>43</v>
      </c>
      <c r="F65">
        <v>91190</v>
      </c>
      <c r="G65">
        <f>+YEAR(Tabla__192.168.1.8_POSEIDONSQL_APPFVT_01_SQLFacturasRendidas[[#This Row],[f_facturacion]])</f>
        <v>2018</v>
      </c>
      <c r="H6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65">
        <f>+IF(Tabla__192.168.1.8_POSEIDONSQL_APPFVT_01_SQLFacturasRendidas[[#This Row],[epc_nombre]]="RENDIDA",1,0)</f>
        <v>1</v>
      </c>
      <c r="J65">
        <f>+IF(Tabla__192.168.1.8_POSEIDONSQL_APPFVT_01_SQLFacturasRendidas[[#This Row],[usu_codigo]]="","",1)</f>
        <v>1</v>
      </c>
    </row>
    <row r="66" spans="1:10" x14ac:dyDescent="0.25">
      <c r="A66">
        <v>1</v>
      </c>
      <c r="B66">
        <v>3</v>
      </c>
      <c r="C66" t="s">
        <v>81</v>
      </c>
      <c r="D66" t="s">
        <v>15</v>
      </c>
      <c r="E66" t="s">
        <v>43</v>
      </c>
      <c r="F66">
        <v>91191</v>
      </c>
      <c r="G66">
        <f>+YEAR(Tabla__192.168.1.8_POSEIDONSQL_APPFVT_01_SQLFacturasRendidas[[#This Row],[f_facturacion]])</f>
        <v>2018</v>
      </c>
      <c r="H6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66">
        <f>+IF(Tabla__192.168.1.8_POSEIDONSQL_APPFVT_01_SQLFacturasRendidas[[#This Row],[epc_nombre]]="RENDIDA",1,0)</f>
        <v>1</v>
      </c>
      <c r="J66">
        <f>+IF(Tabla__192.168.1.8_POSEIDONSQL_APPFVT_01_SQLFacturasRendidas[[#This Row],[usu_codigo]]="","",1)</f>
        <v>1</v>
      </c>
    </row>
    <row r="67" spans="1:10" x14ac:dyDescent="0.25">
      <c r="A67">
        <v>1</v>
      </c>
      <c r="B67">
        <v>3</v>
      </c>
      <c r="C67" t="s">
        <v>81</v>
      </c>
      <c r="D67" t="s">
        <v>15</v>
      </c>
      <c r="E67" t="s">
        <v>43</v>
      </c>
      <c r="F67">
        <v>91192</v>
      </c>
      <c r="G67">
        <f>+YEAR(Tabla__192.168.1.8_POSEIDONSQL_APPFVT_01_SQLFacturasRendidas[[#This Row],[f_facturacion]])</f>
        <v>2018</v>
      </c>
      <c r="H6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67">
        <f>+IF(Tabla__192.168.1.8_POSEIDONSQL_APPFVT_01_SQLFacturasRendidas[[#This Row],[epc_nombre]]="RENDIDA",1,0)</f>
        <v>1</v>
      </c>
      <c r="J67">
        <f>+IF(Tabla__192.168.1.8_POSEIDONSQL_APPFVT_01_SQLFacturasRendidas[[#This Row],[usu_codigo]]="","",1)</f>
        <v>1</v>
      </c>
    </row>
    <row r="68" spans="1:10" x14ac:dyDescent="0.25">
      <c r="A68">
        <v>1</v>
      </c>
      <c r="B68">
        <v>3</v>
      </c>
      <c r="C68" t="s">
        <v>81</v>
      </c>
      <c r="D68" t="s">
        <v>15</v>
      </c>
      <c r="E68" t="s">
        <v>43</v>
      </c>
      <c r="F68">
        <v>91193</v>
      </c>
      <c r="G68">
        <f>+YEAR(Tabla__192.168.1.8_POSEIDONSQL_APPFVT_01_SQLFacturasRendidas[[#This Row],[f_facturacion]])</f>
        <v>2018</v>
      </c>
      <c r="H6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68">
        <f>+IF(Tabla__192.168.1.8_POSEIDONSQL_APPFVT_01_SQLFacturasRendidas[[#This Row],[epc_nombre]]="RENDIDA",1,0)</f>
        <v>1</v>
      </c>
      <c r="J68">
        <f>+IF(Tabla__192.168.1.8_POSEIDONSQL_APPFVT_01_SQLFacturasRendidas[[#This Row],[usu_codigo]]="","",1)</f>
        <v>1</v>
      </c>
    </row>
    <row r="69" spans="1:10" x14ac:dyDescent="0.25">
      <c r="A69">
        <v>1</v>
      </c>
      <c r="B69">
        <v>3</v>
      </c>
      <c r="C69" t="s">
        <v>81</v>
      </c>
      <c r="D69" t="s">
        <v>15</v>
      </c>
      <c r="E69" t="s">
        <v>43</v>
      </c>
      <c r="F69">
        <v>91194</v>
      </c>
      <c r="G69">
        <f>+YEAR(Tabla__192.168.1.8_POSEIDONSQL_APPFVT_01_SQLFacturasRendidas[[#This Row],[f_facturacion]])</f>
        <v>2018</v>
      </c>
      <c r="H6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69">
        <f>+IF(Tabla__192.168.1.8_POSEIDONSQL_APPFVT_01_SQLFacturasRendidas[[#This Row],[epc_nombre]]="RENDIDA",1,0)</f>
        <v>1</v>
      </c>
      <c r="J69">
        <f>+IF(Tabla__192.168.1.8_POSEIDONSQL_APPFVT_01_SQLFacturasRendidas[[#This Row],[usu_codigo]]="","",1)</f>
        <v>1</v>
      </c>
    </row>
    <row r="70" spans="1:10" x14ac:dyDescent="0.25">
      <c r="A70">
        <v>1</v>
      </c>
      <c r="B70">
        <v>3</v>
      </c>
      <c r="C70" t="s">
        <v>81</v>
      </c>
      <c r="D70" t="s">
        <v>15</v>
      </c>
      <c r="E70" t="s">
        <v>43</v>
      </c>
      <c r="F70">
        <v>91195</v>
      </c>
      <c r="G70">
        <f>+YEAR(Tabla__192.168.1.8_POSEIDONSQL_APPFVT_01_SQLFacturasRendidas[[#This Row],[f_facturacion]])</f>
        <v>2018</v>
      </c>
      <c r="H7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70">
        <f>+IF(Tabla__192.168.1.8_POSEIDONSQL_APPFVT_01_SQLFacturasRendidas[[#This Row],[epc_nombre]]="RENDIDA",1,0)</f>
        <v>1</v>
      </c>
      <c r="J70">
        <f>+IF(Tabla__192.168.1.8_POSEIDONSQL_APPFVT_01_SQLFacturasRendidas[[#This Row],[usu_codigo]]="","",1)</f>
        <v>1</v>
      </c>
    </row>
    <row r="71" spans="1:10" x14ac:dyDescent="0.25">
      <c r="A71">
        <v>1</v>
      </c>
      <c r="B71">
        <v>3</v>
      </c>
      <c r="C71" t="s">
        <v>81</v>
      </c>
      <c r="D71" t="s">
        <v>15</v>
      </c>
      <c r="E71" t="s">
        <v>43</v>
      </c>
      <c r="F71">
        <v>91196</v>
      </c>
      <c r="G71">
        <f>+YEAR(Tabla__192.168.1.8_POSEIDONSQL_APPFVT_01_SQLFacturasRendidas[[#This Row],[f_facturacion]])</f>
        <v>2018</v>
      </c>
      <c r="H7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71">
        <f>+IF(Tabla__192.168.1.8_POSEIDONSQL_APPFVT_01_SQLFacturasRendidas[[#This Row],[epc_nombre]]="RENDIDA",1,0)</f>
        <v>1</v>
      </c>
      <c r="J71">
        <f>+IF(Tabla__192.168.1.8_POSEIDONSQL_APPFVT_01_SQLFacturasRendidas[[#This Row],[usu_codigo]]="","",1)</f>
        <v>1</v>
      </c>
    </row>
    <row r="72" spans="1:10" x14ac:dyDescent="0.25">
      <c r="A72">
        <v>1</v>
      </c>
      <c r="B72">
        <v>3</v>
      </c>
      <c r="C72" t="s">
        <v>81</v>
      </c>
      <c r="D72" t="s">
        <v>15</v>
      </c>
      <c r="E72" t="s">
        <v>43</v>
      </c>
      <c r="F72">
        <v>91197</v>
      </c>
      <c r="G72">
        <f>+YEAR(Tabla__192.168.1.8_POSEIDONSQL_APPFVT_01_SQLFacturasRendidas[[#This Row],[f_facturacion]])</f>
        <v>2018</v>
      </c>
      <c r="H7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72">
        <f>+IF(Tabla__192.168.1.8_POSEIDONSQL_APPFVT_01_SQLFacturasRendidas[[#This Row],[epc_nombre]]="RENDIDA",1,0)</f>
        <v>1</v>
      </c>
      <c r="J72">
        <f>+IF(Tabla__192.168.1.8_POSEIDONSQL_APPFVT_01_SQLFacturasRendidas[[#This Row],[usu_codigo]]="","",1)</f>
        <v>1</v>
      </c>
    </row>
    <row r="73" spans="1:10" x14ac:dyDescent="0.25">
      <c r="A73">
        <v>1</v>
      </c>
      <c r="B73">
        <v>3</v>
      </c>
      <c r="C73" t="s">
        <v>81</v>
      </c>
      <c r="D73" t="s">
        <v>15</v>
      </c>
      <c r="E73" t="s">
        <v>43</v>
      </c>
      <c r="F73">
        <v>91198</v>
      </c>
      <c r="G73">
        <f>+YEAR(Tabla__192.168.1.8_POSEIDONSQL_APPFVT_01_SQLFacturasRendidas[[#This Row],[f_facturacion]])</f>
        <v>2018</v>
      </c>
      <c r="H7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73">
        <f>+IF(Tabla__192.168.1.8_POSEIDONSQL_APPFVT_01_SQLFacturasRendidas[[#This Row],[epc_nombre]]="RENDIDA",1,0)</f>
        <v>1</v>
      </c>
      <c r="J73">
        <f>+IF(Tabla__192.168.1.8_POSEIDONSQL_APPFVT_01_SQLFacturasRendidas[[#This Row],[usu_codigo]]="","",1)</f>
        <v>1</v>
      </c>
    </row>
    <row r="74" spans="1:10" x14ac:dyDescent="0.25">
      <c r="A74">
        <v>1</v>
      </c>
      <c r="B74">
        <v>3</v>
      </c>
      <c r="C74" t="s">
        <v>81</v>
      </c>
      <c r="D74" t="s">
        <v>15</v>
      </c>
      <c r="E74" t="s">
        <v>43</v>
      </c>
      <c r="F74">
        <v>91199</v>
      </c>
      <c r="G74">
        <f>+YEAR(Tabla__192.168.1.8_POSEIDONSQL_APPFVT_01_SQLFacturasRendidas[[#This Row],[f_facturacion]])</f>
        <v>2018</v>
      </c>
      <c r="H7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74">
        <f>+IF(Tabla__192.168.1.8_POSEIDONSQL_APPFVT_01_SQLFacturasRendidas[[#This Row],[epc_nombre]]="RENDIDA",1,0)</f>
        <v>1</v>
      </c>
      <c r="J74">
        <f>+IF(Tabla__192.168.1.8_POSEIDONSQL_APPFVT_01_SQLFacturasRendidas[[#This Row],[usu_codigo]]="","",1)</f>
        <v>1</v>
      </c>
    </row>
    <row r="75" spans="1:10" x14ac:dyDescent="0.25">
      <c r="A75">
        <v>1</v>
      </c>
      <c r="B75">
        <v>3</v>
      </c>
      <c r="C75" t="s">
        <v>81</v>
      </c>
      <c r="D75" t="s">
        <v>15</v>
      </c>
      <c r="E75" t="s">
        <v>43</v>
      </c>
      <c r="F75">
        <v>91200</v>
      </c>
      <c r="G75">
        <f>+YEAR(Tabla__192.168.1.8_POSEIDONSQL_APPFVT_01_SQLFacturasRendidas[[#This Row],[f_facturacion]])</f>
        <v>2018</v>
      </c>
      <c r="H7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75">
        <f>+IF(Tabla__192.168.1.8_POSEIDONSQL_APPFVT_01_SQLFacturasRendidas[[#This Row],[epc_nombre]]="RENDIDA",1,0)</f>
        <v>1</v>
      </c>
      <c r="J75">
        <f>+IF(Tabla__192.168.1.8_POSEIDONSQL_APPFVT_01_SQLFacturasRendidas[[#This Row],[usu_codigo]]="","",1)</f>
        <v>1</v>
      </c>
    </row>
    <row r="76" spans="1:10" x14ac:dyDescent="0.25">
      <c r="A76">
        <v>1</v>
      </c>
      <c r="B76">
        <v>3</v>
      </c>
      <c r="C76" t="s">
        <v>81</v>
      </c>
      <c r="D76" t="s">
        <v>15</v>
      </c>
      <c r="E76" t="s">
        <v>43</v>
      </c>
      <c r="F76">
        <v>91201</v>
      </c>
      <c r="G76">
        <f>+YEAR(Tabla__192.168.1.8_POSEIDONSQL_APPFVT_01_SQLFacturasRendidas[[#This Row],[f_facturacion]])</f>
        <v>2018</v>
      </c>
      <c r="H7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76">
        <f>+IF(Tabla__192.168.1.8_POSEIDONSQL_APPFVT_01_SQLFacturasRendidas[[#This Row],[epc_nombre]]="RENDIDA",1,0)</f>
        <v>1</v>
      </c>
      <c r="J76">
        <f>+IF(Tabla__192.168.1.8_POSEIDONSQL_APPFVT_01_SQLFacturasRendidas[[#This Row],[usu_codigo]]="","",1)</f>
        <v>1</v>
      </c>
    </row>
    <row r="77" spans="1:10" x14ac:dyDescent="0.25">
      <c r="A77">
        <v>1</v>
      </c>
      <c r="B77">
        <v>3</v>
      </c>
      <c r="C77" t="s">
        <v>81</v>
      </c>
      <c r="D77" t="s">
        <v>15</v>
      </c>
      <c r="E77" t="s">
        <v>43</v>
      </c>
      <c r="F77">
        <v>91202</v>
      </c>
      <c r="G77">
        <f>+YEAR(Tabla__192.168.1.8_POSEIDONSQL_APPFVT_01_SQLFacturasRendidas[[#This Row],[f_facturacion]])</f>
        <v>2018</v>
      </c>
      <c r="H7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77">
        <f>+IF(Tabla__192.168.1.8_POSEIDONSQL_APPFVT_01_SQLFacturasRendidas[[#This Row],[epc_nombre]]="RENDIDA",1,0)</f>
        <v>1</v>
      </c>
      <c r="J77">
        <f>+IF(Tabla__192.168.1.8_POSEIDONSQL_APPFVT_01_SQLFacturasRendidas[[#This Row],[usu_codigo]]="","",1)</f>
        <v>1</v>
      </c>
    </row>
    <row r="78" spans="1:10" x14ac:dyDescent="0.25">
      <c r="A78">
        <v>1</v>
      </c>
      <c r="B78">
        <v>3</v>
      </c>
      <c r="C78" t="s">
        <v>81</v>
      </c>
      <c r="D78" t="s">
        <v>15</v>
      </c>
      <c r="E78" t="s">
        <v>43</v>
      </c>
      <c r="F78">
        <v>91203</v>
      </c>
      <c r="G78">
        <f>+YEAR(Tabla__192.168.1.8_POSEIDONSQL_APPFVT_01_SQLFacturasRendidas[[#This Row],[f_facturacion]])</f>
        <v>2018</v>
      </c>
      <c r="H7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78">
        <f>+IF(Tabla__192.168.1.8_POSEIDONSQL_APPFVT_01_SQLFacturasRendidas[[#This Row],[epc_nombre]]="RENDIDA",1,0)</f>
        <v>1</v>
      </c>
      <c r="J78">
        <f>+IF(Tabla__192.168.1.8_POSEIDONSQL_APPFVT_01_SQLFacturasRendidas[[#This Row],[usu_codigo]]="","",1)</f>
        <v>1</v>
      </c>
    </row>
    <row r="79" spans="1:10" x14ac:dyDescent="0.25">
      <c r="A79">
        <v>1</v>
      </c>
      <c r="B79">
        <v>3</v>
      </c>
      <c r="C79" t="s">
        <v>81</v>
      </c>
      <c r="D79" t="s">
        <v>15</v>
      </c>
      <c r="E79" t="s">
        <v>44</v>
      </c>
      <c r="F79">
        <v>91352</v>
      </c>
      <c r="G79">
        <f>+YEAR(Tabla__192.168.1.8_POSEIDONSQL_APPFVT_01_SQLFacturasRendidas[[#This Row],[f_facturacion]])</f>
        <v>2018</v>
      </c>
      <c r="H7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79">
        <f>+IF(Tabla__192.168.1.8_POSEIDONSQL_APPFVT_01_SQLFacturasRendidas[[#This Row],[epc_nombre]]="RENDIDA",1,0)</f>
        <v>1</v>
      </c>
      <c r="J79">
        <f>+IF(Tabla__192.168.1.8_POSEIDONSQL_APPFVT_01_SQLFacturasRendidas[[#This Row],[usu_codigo]]="","",1)</f>
        <v>1</v>
      </c>
    </row>
    <row r="80" spans="1:10" x14ac:dyDescent="0.25">
      <c r="A80">
        <v>1</v>
      </c>
      <c r="B80">
        <v>3</v>
      </c>
      <c r="C80" t="s">
        <v>81</v>
      </c>
      <c r="D80" t="s">
        <v>15</v>
      </c>
      <c r="E80" t="s">
        <v>45</v>
      </c>
      <c r="F80">
        <v>91497</v>
      </c>
      <c r="G80">
        <f>+YEAR(Tabla__192.168.1.8_POSEIDONSQL_APPFVT_01_SQLFacturasRendidas[[#This Row],[f_facturacion]])</f>
        <v>2018</v>
      </c>
      <c r="H8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80">
        <f>+IF(Tabla__192.168.1.8_POSEIDONSQL_APPFVT_01_SQLFacturasRendidas[[#This Row],[epc_nombre]]="RENDIDA",1,0)</f>
        <v>1</v>
      </c>
      <c r="J80">
        <f>+IF(Tabla__192.168.1.8_POSEIDONSQL_APPFVT_01_SQLFacturasRendidas[[#This Row],[usu_codigo]]="","",1)</f>
        <v>1</v>
      </c>
    </row>
    <row r="81" spans="1:10" x14ac:dyDescent="0.25">
      <c r="A81">
        <v>1</v>
      </c>
      <c r="B81">
        <v>3</v>
      </c>
      <c r="C81" t="s">
        <v>81</v>
      </c>
      <c r="D81" t="s">
        <v>15</v>
      </c>
      <c r="E81" t="s">
        <v>21</v>
      </c>
      <c r="F81">
        <v>91600</v>
      </c>
      <c r="G81">
        <f>+YEAR(Tabla__192.168.1.8_POSEIDONSQL_APPFVT_01_SQLFacturasRendidas[[#This Row],[f_facturacion]])</f>
        <v>2018</v>
      </c>
      <c r="H8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81">
        <f>+IF(Tabla__192.168.1.8_POSEIDONSQL_APPFVT_01_SQLFacturasRendidas[[#This Row],[epc_nombre]]="RENDIDA",1,0)</f>
        <v>1</v>
      </c>
      <c r="J81">
        <f>+IF(Tabla__192.168.1.8_POSEIDONSQL_APPFVT_01_SQLFacturasRendidas[[#This Row],[usu_codigo]]="","",1)</f>
        <v>1</v>
      </c>
    </row>
    <row r="82" spans="1:10" x14ac:dyDescent="0.25">
      <c r="A82">
        <v>1</v>
      </c>
      <c r="B82">
        <v>3</v>
      </c>
      <c r="C82" t="s">
        <v>81</v>
      </c>
      <c r="D82" t="s">
        <v>15</v>
      </c>
      <c r="E82" t="s">
        <v>21</v>
      </c>
      <c r="F82">
        <v>91601</v>
      </c>
      <c r="G82">
        <f>+YEAR(Tabla__192.168.1.8_POSEIDONSQL_APPFVT_01_SQLFacturasRendidas[[#This Row],[f_facturacion]])</f>
        <v>2018</v>
      </c>
      <c r="H8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82">
        <f>+IF(Tabla__192.168.1.8_POSEIDONSQL_APPFVT_01_SQLFacturasRendidas[[#This Row],[epc_nombre]]="RENDIDA",1,0)</f>
        <v>1</v>
      </c>
      <c r="J82">
        <f>+IF(Tabla__192.168.1.8_POSEIDONSQL_APPFVT_01_SQLFacturasRendidas[[#This Row],[usu_codigo]]="","",1)</f>
        <v>1</v>
      </c>
    </row>
    <row r="83" spans="1:10" x14ac:dyDescent="0.25">
      <c r="A83">
        <v>1</v>
      </c>
      <c r="B83">
        <v>3</v>
      </c>
      <c r="C83" t="s">
        <v>81</v>
      </c>
      <c r="D83" t="s">
        <v>15</v>
      </c>
      <c r="E83" t="s">
        <v>21</v>
      </c>
      <c r="F83">
        <v>91602</v>
      </c>
      <c r="G83">
        <f>+YEAR(Tabla__192.168.1.8_POSEIDONSQL_APPFVT_01_SQLFacturasRendidas[[#This Row],[f_facturacion]])</f>
        <v>2018</v>
      </c>
      <c r="H8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83">
        <f>+IF(Tabla__192.168.1.8_POSEIDONSQL_APPFVT_01_SQLFacturasRendidas[[#This Row],[epc_nombre]]="RENDIDA",1,0)</f>
        <v>1</v>
      </c>
      <c r="J83">
        <f>+IF(Tabla__192.168.1.8_POSEIDONSQL_APPFVT_01_SQLFacturasRendidas[[#This Row],[usu_codigo]]="","",1)</f>
        <v>1</v>
      </c>
    </row>
    <row r="84" spans="1:10" x14ac:dyDescent="0.25">
      <c r="A84">
        <v>1</v>
      </c>
      <c r="B84">
        <v>3</v>
      </c>
      <c r="C84" t="s">
        <v>81</v>
      </c>
      <c r="D84" t="s">
        <v>15</v>
      </c>
      <c r="E84" t="s">
        <v>21</v>
      </c>
      <c r="F84">
        <v>91603</v>
      </c>
      <c r="G84">
        <f>+YEAR(Tabla__192.168.1.8_POSEIDONSQL_APPFVT_01_SQLFacturasRendidas[[#This Row],[f_facturacion]])</f>
        <v>2018</v>
      </c>
      <c r="H8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84">
        <f>+IF(Tabla__192.168.1.8_POSEIDONSQL_APPFVT_01_SQLFacturasRendidas[[#This Row],[epc_nombre]]="RENDIDA",1,0)</f>
        <v>1</v>
      </c>
      <c r="J84">
        <f>+IF(Tabla__192.168.1.8_POSEIDONSQL_APPFVT_01_SQLFacturasRendidas[[#This Row],[usu_codigo]]="","",1)</f>
        <v>1</v>
      </c>
    </row>
    <row r="85" spans="1:10" x14ac:dyDescent="0.25">
      <c r="A85">
        <v>1</v>
      </c>
      <c r="B85">
        <v>3</v>
      </c>
      <c r="C85" t="s">
        <v>81</v>
      </c>
      <c r="D85" t="s">
        <v>15</v>
      </c>
      <c r="E85" t="s">
        <v>21</v>
      </c>
      <c r="F85">
        <v>91604</v>
      </c>
      <c r="G85">
        <f>+YEAR(Tabla__192.168.1.8_POSEIDONSQL_APPFVT_01_SQLFacturasRendidas[[#This Row],[f_facturacion]])</f>
        <v>2018</v>
      </c>
      <c r="H8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85">
        <f>+IF(Tabla__192.168.1.8_POSEIDONSQL_APPFVT_01_SQLFacturasRendidas[[#This Row],[epc_nombre]]="RENDIDA",1,0)</f>
        <v>1</v>
      </c>
      <c r="J85">
        <f>+IF(Tabla__192.168.1.8_POSEIDONSQL_APPFVT_01_SQLFacturasRendidas[[#This Row],[usu_codigo]]="","",1)</f>
        <v>1</v>
      </c>
    </row>
    <row r="86" spans="1:10" x14ac:dyDescent="0.25">
      <c r="A86">
        <v>1</v>
      </c>
      <c r="B86">
        <v>3</v>
      </c>
      <c r="C86" t="s">
        <v>81</v>
      </c>
      <c r="D86" t="s">
        <v>15</v>
      </c>
      <c r="E86" t="s">
        <v>21</v>
      </c>
      <c r="F86">
        <v>91605</v>
      </c>
      <c r="G86">
        <f>+YEAR(Tabla__192.168.1.8_POSEIDONSQL_APPFVT_01_SQLFacturasRendidas[[#This Row],[f_facturacion]])</f>
        <v>2018</v>
      </c>
      <c r="H8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86">
        <f>+IF(Tabla__192.168.1.8_POSEIDONSQL_APPFVT_01_SQLFacturasRendidas[[#This Row],[epc_nombre]]="RENDIDA",1,0)</f>
        <v>1</v>
      </c>
      <c r="J86">
        <f>+IF(Tabla__192.168.1.8_POSEIDONSQL_APPFVT_01_SQLFacturasRendidas[[#This Row],[usu_codigo]]="","",1)</f>
        <v>1</v>
      </c>
    </row>
    <row r="87" spans="1:10" x14ac:dyDescent="0.25">
      <c r="A87">
        <v>1</v>
      </c>
      <c r="B87">
        <v>3</v>
      </c>
      <c r="C87" t="s">
        <v>81</v>
      </c>
      <c r="D87" t="s">
        <v>15</v>
      </c>
      <c r="E87" t="s">
        <v>21</v>
      </c>
      <c r="F87">
        <v>91606</v>
      </c>
      <c r="G87">
        <f>+YEAR(Tabla__192.168.1.8_POSEIDONSQL_APPFVT_01_SQLFacturasRendidas[[#This Row],[f_facturacion]])</f>
        <v>2018</v>
      </c>
      <c r="H8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87">
        <f>+IF(Tabla__192.168.1.8_POSEIDONSQL_APPFVT_01_SQLFacturasRendidas[[#This Row],[epc_nombre]]="RENDIDA",1,0)</f>
        <v>1</v>
      </c>
      <c r="J87">
        <f>+IF(Tabla__192.168.1.8_POSEIDONSQL_APPFVT_01_SQLFacturasRendidas[[#This Row],[usu_codigo]]="","",1)</f>
        <v>1</v>
      </c>
    </row>
    <row r="88" spans="1:10" x14ac:dyDescent="0.25">
      <c r="A88">
        <v>1</v>
      </c>
      <c r="B88">
        <v>3</v>
      </c>
      <c r="C88" t="s">
        <v>81</v>
      </c>
      <c r="D88" t="s">
        <v>15</v>
      </c>
      <c r="E88" t="s">
        <v>21</v>
      </c>
      <c r="F88">
        <v>91607</v>
      </c>
      <c r="G88">
        <f>+YEAR(Tabla__192.168.1.8_POSEIDONSQL_APPFVT_01_SQLFacturasRendidas[[#This Row],[f_facturacion]])</f>
        <v>2018</v>
      </c>
      <c r="H8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88">
        <f>+IF(Tabla__192.168.1.8_POSEIDONSQL_APPFVT_01_SQLFacturasRendidas[[#This Row],[epc_nombre]]="RENDIDA",1,0)</f>
        <v>1</v>
      </c>
      <c r="J88">
        <f>+IF(Tabla__192.168.1.8_POSEIDONSQL_APPFVT_01_SQLFacturasRendidas[[#This Row],[usu_codigo]]="","",1)</f>
        <v>1</v>
      </c>
    </row>
    <row r="89" spans="1:10" x14ac:dyDescent="0.25">
      <c r="A89">
        <v>1</v>
      </c>
      <c r="B89">
        <v>3</v>
      </c>
      <c r="C89" t="s">
        <v>81</v>
      </c>
      <c r="D89" t="s">
        <v>15</v>
      </c>
      <c r="E89" t="s">
        <v>21</v>
      </c>
      <c r="F89">
        <v>91608</v>
      </c>
      <c r="G89">
        <f>+YEAR(Tabla__192.168.1.8_POSEIDONSQL_APPFVT_01_SQLFacturasRendidas[[#This Row],[f_facturacion]])</f>
        <v>2018</v>
      </c>
      <c r="H8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89">
        <f>+IF(Tabla__192.168.1.8_POSEIDONSQL_APPFVT_01_SQLFacturasRendidas[[#This Row],[epc_nombre]]="RENDIDA",1,0)</f>
        <v>1</v>
      </c>
      <c r="J89">
        <f>+IF(Tabla__192.168.1.8_POSEIDONSQL_APPFVT_01_SQLFacturasRendidas[[#This Row],[usu_codigo]]="","",1)</f>
        <v>1</v>
      </c>
    </row>
    <row r="90" spans="1:10" x14ac:dyDescent="0.25">
      <c r="A90">
        <v>1</v>
      </c>
      <c r="B90">
        <v>3</v>
      </c>
      <c r="C90" t="s">
        <v>81</v>
      </c>
      <c r="D90" t="s">
        <v>15</v>
      </c>
      <c r="E90" t="s">
        <v>21</v>
      </c>
      <c r="F90">
        <v>91609</v>
      </c>
      <c r="G90">
        <f>+YEAR(Tabla__192.168.1.8_POSEIDONSQL_APPFVT_01_SQLFacturasRendidas[[#This Row],[f_facturacion]])</f>
        <v>2018</v>
      </c>
      <c r="H9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90">
        <f>+IF(Tabla__192.168.1.8_POSEIDONSQL_APPFVT_01_SQLFacturasRendidas[[#This Row],[epc_nombre]]="RENDIDA",1,0)</f>
        <v>1</v>
      </c>
      <c r="J90">
        <f>+IF(Tabla__192.168.1.8_POSEIDONSQL_APPFVT_01_SQLFacturasRendidas[[#This Row],[usu_codigo]]="","",1)</f>
        <v>1</v>
      </c>
    </row>
    <row r="91" spans="1:10" x14ac:dyDescent="0.25">
      <c r="A91">
        <v>1</v>
      </c>
      <c r="B91">
        <v>3</v>
      </c>
      <c r="C91" t="s">
        <v>81</v>
      </c>
      <c r="D91" t="s">
        <v>15</v>
      </c>
      <c r="E91" t="s">
        <v>21</v>
      </c>
      <c r="F91">
        <v>91612</v>
      </c>
      <c r="G91">
        <f>+YEAR(Tabla__192.168.1.8_POSEIDONSQL_APPFVT_01_SQLFacturasRendidas[[#This Row],[f_facturacion]])</f>
        <v>2018</v>
      </c>
      <c r="H9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91">
        <f>+IF(Tabla__192.168.1.8_POSEIDONSQL_APPFVT_01_SQLFacturasRendidas[[#This Row],[epc_nombre]]="RENDIDA",1,0)</f>
        <v>1</v>
      </c>
      <c r="J91">
        <f>+IF(Tabla__192.168.1.8_POSEIDONSQL_APPFVT_01_SQLFacturasRendidas[[#This Row],[usu_codigo]]="","",1)</f>
        <v>1</v>
      </c>
    </row>
    <row r="92" spans="1:10" x14ac:dyDescent="0.25">
      <c r="A92">
        <v>1</v>
      </c>
      <c r="B92">
        <v>3</v>
      </c>
      <c r="C92" t="s">
        <v>81</v>
      </c>
      <c r="D92" t="s">
        <v>15</v>
      </c>
      <c r="E92" t="s">
        <v>21</v>
      </c>
      <c r="F92">
        <v>91613</v>
      </c>
      <c r="G92">
        <f>+YEAR(Tabla__192.168.1.8_POSEIDONSQL_APPFVT_01_SQLFacturasRendidas[[#This Row],[f_facturacion]])</f>
        <v>2018</v>
      </c>
      <c r="H9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92">
        <f>+IF(Tabla__192.168.1.8_POSEIDONSQL_APPFVT_01_SQLFacturasRendidas[[#This Row],[epc_nombre]]="RENDIDA",1,0)</f>
        <v>1</v>
      </c>
      <c r="J92">
        <f>+IF(Tabla__192.168.1.8_POSEIDONSQL_APPFVT_01_SQLFacturasRendidas[[#This Row],[usu_codigo]]="","",1)</f>
        <v>1</v>
      </c>
    </row>
    <row r="93" spans="1:10" x14ac:dyDescent="0.25">
      <c r="A93">
        <v>1</v>
      </c>
      <c r="B93">
        <v>3</v>
      </c>
      <c r="C93" t="s">
        <v>81</v>
      </c>
      <c r="D93" t="s">
        <v>15</v>
      </c>
      <c r="E93" t="s">
        <v>21</v>
      </c>
      <c r="F93">
        <v>91614</v>
      </c>
      <c r="G93">
        <f>+YEAR(Tabla__192.168.1.8_POSEIDONSQL_APPFVT_01_SQLFacturasRendidas[[#This Row],[f_facturacion]])</f>
        <v>2018</v>
      </c>
      <c r="H9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93">
        <f>+IF(Tabla__192.168.1.8_POSEIDONSQL_APPFVT_01_SQLFacturasRendidas[[#This Row],[epc_nombre]]="RENDIDA",1,0)</f>
        <v>1</v>
      </c>
      <c r="J93">
        <f>+IF(Tabla__192.168.1.8_POSEIDONSQL_APPFVT_01_SQLFacturasRendidas[[#This Row],[usu_codigo]]="","",1)</f>
        <v>1</v>
      </c>
    </row>
    <row r="94" spans="1:10" x14ac:dyDescent="0.25">
      <c r="A94">
        <v>1</v>
      </c>
      <c r="B94">
        <v>3</v>
      </c>
      <c r="C94" t="s">
        <v>81</v>
      </c>
      <c r="D94" t="s">
        <v>15</v>
      </c>
      <c r="E94" t="s">
        <v>21</v>
      </c>
      <c r="F94">
        <v>91615</v>
      </c>
      <c r="G94">
        <f>+YEAR(Tabla__192.168.1.8_POSEIDONSQL_APPFVT_01_SQLFacturasRendidas[[#This Row],[f_facturacion]])</f>
        <v>2018</v>
      </c>
      <c r="H9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94">
        <f>+IF(Tabla__192.168.1.8_POSEIDONSQL_APPFVT_01_SQLFacturasRendidas[[#This Row],[epc_nombre]]="RENDIDA",1,0)</f>
        <v>1</v>
      </c>
      <c r="J94">
        <f>+IF(Tabla__192.168.1.8_POSEIDONSQL_APPFVT_01_SQLFacturasRendidas[[#This Row],[usu_codigo]]="","",1)</f>
        <v>1</v>
      </c>
    </row>
    <row r="95" spans="1:10" x14ac:dyDescent="0.25">
      <c r="A95">
        <v>1</v>
      </c>
      <c r="B95">
        <v>3</v>
      </c>
      <c r="C95" t="s">
        <v>81</v>
      </c>
      <c r="D95" t="s">
        <v>15</v>
      </c>
      <c r="E95" t="s">
        <v>21</v>
      </c>
      <c r="F95">
        <v>91616</v>
      </c>
      <c r="G95">
        <f>+YEAR(Tabla__192.168.1.8_POSEIDONSQL_APPFVT_01_SQLFacturasRendidas[[#This Row],[f_facturacion]])</f>
        <v>2018</v>
      </c>
      <c r="H9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95">
        <f>+IF(Tabla__192.168.1.8_POSEIDONSQL_APPFVT_01_SQLFacturasRendidas[[#This Row],[epc_nombre]]="RENDIDA",1,0)</f>
        <v>1</v>
      </c>
      <c r="J95">
        <f>+IF(Tabla__192.168.1.8_POSEIDONSQL_APPFVT_01_SQLFacturasRendidas[[#This Row],[usu_codigo]]="","",1)</f>
        <v>1</v>
      </c>
    </row>
    <row r="96" spans="1:10" x14ac:dyDescent="0.25">
      <c r="A96">
        <v>1</v>
      </c>
      <c r="B96">
        <v>3</v>
      </c>
      <c r="C96" t="s">
        <v>81</v>
      </c>
      <c r="D96" t="s">
        <v>15</v>
      </c>
      <c r="E96" t="s">
        <v>21</v>
      </c>
      <c r="F96">
        <v>91617</v>
      </c>
      <c r="G96">
        <f>+YEAR(Tabla__192.168.1.8_POSEIDONSQL_APPFVT_01_SQLFacturasRendidas[[#This Row],[f_facturacion]])</f>
        <v>2018</v>
      </c>
      <c r="H9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96">
        <f>+IF(Tabla__192.168.1.8_POSEIDONSQL_APPFVT_01_SQLFacturasRendidas[[#This Row],[epc_nombre]]="RENDIDA",1,0)</f>
        <v>1</v>
      </c>
      <c r="J96">
        <f>+IF(Tabla__192.168.1.8_POSEIDONSQL_APPFVT_01_SQLFacturasRendidas[[#This Row],[usu_codigo]]="","",1)</f>
        <v>1</v>
      </c>
    </row>
    <row r="97" spans="1:10" x14ac:dyDescent="0.25">
      <c r="A97">
        <v>1</v>
      </c>
      <c r="B97">
        <v>3</v>
      </c>
      <c r="C97" t="s">
        <v>81</v>
      </c>
      <c r="D97" t="s">
        <v>15</v>
      </c>
      <c r="E97" t="s">
        <v>21</v>
      </c>
      <c r="F97">
        <v>91618</v>
      </c>
      <c r="G97">
        <f>+YEAR(Tabla__192.168.1.8_POSEIDONSQL_APPFVT_01_SQLFacturasRendidas[[#This Row],[f_facturacion]])</f>
        <v>2018</v>
      </c>
      <c r="H9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97">
        <f>+IF(Tabla__192.168.1.8_POSEIDONSQL_APPFVT_01_SQLFacturasRendidas[[#This Row],[epc_nombre]]="RENDIDA",1,0)</f>
        <v>1</v>
      </c>
      <c r="J97">
        <f>+IF(Tabla__192.168.1.8_POSEIDONSQL_APPFVT_01_SQLFacturasRendidas[[#This Row],[usu_codigo]]="","",1)</f>
        <v>1</v>
      </c>
    </row>
    <row r="98" spans="1:10" x14ac:dyDescent="0.25">
      <c r="A98">
        <v>1</v>
      </c>
      <c r="B98">
        <v>3</v>
      </c>
      <c r="C98" t="s">
        <v>81</v>
      </c>
      <c r="D98" t="s">
        <v>15</v>
      </c>
      <c r="E98" t="s">
        <v>21</v>
      </c>
      <c r="F98">
        <v>91619</v>
      </c>
      <c r="G98">
        <f>+YEAR(Tabla__192.168.1.8_POSEIDONSQL_APPFVT_01_SQLFacturasRendidas[[#This Row],[f_facturacion]])</f>
        <v>2018</v>
      </c>
      <c r="H9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98">
        <f>+IF(Tabla__192.168.1.8_POSEIDONSQL_APPFVT_01_SQLFacturasRendidas[[#This Row],[epc_nombre]]="RENDIDA",1,0)</f>
        <v>1</v>
      </c>
      <c r="J98">
        <f>+IF(Tabla__192.168.1.8_POSEIDONSQL_APPFVT_01_SQLFacturasRendidas[[#This Row],[usu_codigo]]="","",1)</f>
        <v>1</v>
      </c>
    </row>
    <row r="99" spans="1:10" x14ac:dyDescent="0.25">
      <c r="A99">
        <v>1</v>
      </c>
      <c r="B99">
        <v>3</v>
      </c>
      <c r="C99" t="s">
        <v>81</v>
      </c>
      <c r="D99" t="s">
        <v>15</v>
      </c>
      <c r="E99" t="s">
        <v>21</v>
      </c>
      <c r="F99">
        <v>91620</v>
      </c>
      <c r="G99">
        <f>+YEAR(Tabla__192.168.1.8_POSEIDONSQL_APPFVT_01_SQLFacturasRendidas[[#This Row],[f_facturacion]])</f>
        <v>2018</v>
      </c>
      <c r="H9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99">
        <f>+IF(Tabla__192.168.1.8_POSEIDONSQL_APPFVT_01_SQLFacturasRendidas[[#This Row],[epc_nombre]]="RENDIDA",1,0)</f>
        <v>1</v>
      </c>
      <c r="J99">
        <f>+IF(Tabla__192.168.1.8_POSEIDONSQL_APPFVT_01_SQLFacturasRendidas[[#This Row],[usu_codigo]]="","",1)</f>
        <v>1</v>
      </c>
    </row>
    <row r="100" spans="1:10" x14ac:dyDescent="0.25">
      <c r="A100">
        <v>1</v>
      </c>
      <c r="B100">
        <v>3</v>
      </c>
      <c r="C100" t="s">
        <v>81</v>
      </c>
      <c r="D100" t="s">
        <v>15</v>
      </c>
      <c r="E100" t="s">
        <v>22</v>
      </c>
      <c r="F100">
        <v>91733</v>
      </c>
      <c r="G100">
        <f>+YEAR(Tabla__192.168.1.8_POSEIDONSQL_APPFVT_01_SQLFacturasRendidas[[#This Row],[f_facturacion]])</f>
        <v>2018</v>
      </c>
      <c r="H10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00">
        <f>+IF(Tabla__192.168.1.8_POSEIDONSQL_APPFVT_01_SQLFacturasRendidas[[#This Row],[epc_nombre]]="RENDIDA",1,0)</f>
        <v>1</v>
      </c>
      <c r="J100">
        <f>+IF(Tabla__192.168.1.8_POSEIDONSQL_APPFVT_01_SQLFacturasRendidas[[#This Row],[usu_codigo]]="","",1)</f>
        <v>1</v>
      </c>
    </row>
    <row r="101" spans="1:10" x14ac:dyDescent="0.25">
      <c r="A101">
        <v>1</v>
      </c>
      <c r="B101">
        <v>3</v>
      </c>
      <c r="C101" t="s">
        <v>81</v>
      </c>
      <c r="D101" t="s">
        <v>15</v>
      </c>
      <c r="E101" t="s">
        <v>22</v>
      </c>
      <c r="F101">
        <v>91734</v>
      </c>
      <c r="G101">
        <f>+YEAR(Tabla__192.168.1.8_POSEIDONSQL_APPFVT_01_SQLFacturasRendidas[[#This Row],[f_facturacion]])</f>
        <v>2018</v>
      </c>
      <c r="H10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01">
        <f>+IF(Tabla__192.168.1.8_POSEIDONSQL_APPFVT_01_SQLFacturasRendidas[[#This Row],[epc_nombre]]="RENDIDA",1,0)</f>
        <v>1</v>
      </c>
      <c r="J101">
        <f>+IF(Tabla__192.168.1.8_POSEIDONSQL_APPFVT_01_SQLFacturasRendidas[[#This Row],[usu_codigo]]="","",1)</f>
        <v>1</v>
      </c>
    </row>
    <row r="102" spans="1:10" x14ac:dyDescent="0.25">
      <c r="A102">
        <v>1</v>
      </c>
      <c r="B102">
        <v>3</v>
      </c>
      <c r="C102" t="s">
        <v>81</v>
      </c>
      <c r="D102" t="s">
        <v>15</v>
      </c>
      <c r="E102" t="s">
        <v>22</v>
      </c>
      <c r="F102">
        <v>91735</v>
      </c>
      <c r="G102">
        <f>+YEAR(Tabla__192.168.1.8_POSEIDONSQL_APPFVT_01_SQLFacturasRendidas[[#This Row],[f_facturacion]])</f>
        <v>2018</v>
      </c>
      <c r="H10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02">
        <f>+IF(Tabla__192.168.1.8_POSEIDONSQL_APPFVT_01_SQLFacturasRendidas[[#This Row],[epc_nombre]]="RENDIDA",1,0)</f>
        <v>1</v>
      </c>
      <c r="J102">
        <f>+IF(Tabla__192.168.1.8_POSEIDONSQL_APPFVT_01_SQLFacturasRendidas[[#This Row],[usu_codigo]]="","",1)</f>
        <v>1</v>
      </c>
    </row>
    <row r="103" spans="1:10" x14ac:dyDescent="0.25">
      <c r="A103">
        <v>1</v>
      </c>
      <c r="B103">
        <v>3</v>
      </c>
      <c r="C103" t="s">
        <v>81</v>
      </c>
      <c r="D103" t="s">
        <v>15</v>
      </c>
      <c r="E103" t="s">
        <v>22</v>
      </c>
      <c r="F103">
        <v>91736</v>
      </c>
      <c r="G103">
        <f>+YEAR(Tabla__192.168.1.8_POSEIDONSQL_APPFVT_01_SQLFacturasRendidas[[#This Row],[f_facturacion]])</f>
        <v>2018</v>
      </c>
      <c r="H10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03">
        <f>+IF(Tabla__192.168.1.8_POSEIDONSQL_APPFVT_01_SQLFacturasRendidas[[#This Row],[epc_nombre]]="RENDIDA",1,0)</f>
        <v>1</v>
      </c>
      <c r="J103">
        <f>+IF(Tabla__192.168.1.8_POSEIDONSQL_APPFVT_01_SQLFacturasRendidas[[#This Row],[usu_codigo]]="","",1)</f>
        <v>1</v>
      </c>
    </row>
    <row r="104" spans="1:10" x14ac:dyDescent="0.25">
      <c r="A104">
        <v>1</v>
      </c>
      <c r="B104">
        <v>3</v>
      </c>
      <c r="C104" t="s">
        <v>81</v>
      </c>
      <c r="D104" t="s">
        <v>15</v>
      </c>
      <c r="E104" t="s">
        <v>22</v>
      </c>
      <c r="F104">
        <v>91737</v>
      </c>
      <c r="G104">
        <f>+YEAR(Tabla__192.168.1.8_POSEIDONSQL_APPFVT_01_SQLFacturasRendidas[[#This Row],[f_facturacion]])</f>
        <v>2018</v>
      </c>
      <c r="H10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04">
        <f>+IF(Tabla__192.168.1.8_POSEIDONSQL_APPFVT_01_SQLFacturasRendidas[[#This Row],[epc_nombre]]="RENDIDA",1,0)</f>
        <v>1</v>
      </c>
      <c r="J104">
        <f>+IF(Tabla__192.168.1.8_POSEIDONSQL_APPFVT_01_SQLFacturasRendidas[[#This Row],[usu_codigo]]="","",1)</f>
        <v>1</v>
      </c>
    </row>
    <row r="105" spans="1:10" x14ac:dyDescent="0.25">
      <c r="A105">
        <v>1</v>
      </c>
      <c r="B105">
        <v>3</v>
      </c>
      <c r="C105" t="s">
        <v>81</v>
      </c>
      <c r="D105" t="s">
        <v>15</v>
      </c>
      <c r="E105" t="s">
        <v>22</v>
      </c>
      <c r="F105">
        <v>91738</v>
      </c>
      <c r="G105">
        <f>+YEAR(Tabla__192.168.1.8_POSEIDONSQL_APPFVT_01_SQLFacturasRendidas[[#This Row],[f_facturacion]])</f>
        <v>2018</v>
      </c>
      <c r="H10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05">
        <f>+IF(Tabla__192.168.1.8_POSEIDONSQL_APPFVT_01_SQLFacturasRendidas[[#This Row],[epc_nombre]]="RENDIDA",1,0)</f>
        <v>1</v>
      </c>
      <c r="J105">
        <f>+IF(Tabla__192.168.1.8_POSEIDONSQL_APPFVT_01_SQLFacturasRendidas[[#This Row],[usu_codigo]]="","",1)</f>
        <v>1</v>
      </c>
    </row>
    <row r="106" spans="1:10" x14ac:dyDescent="0.25">
      <c r="A106">
        <v>1</v>
      </c>
      <c r="B106">
        <v>3</v>
      </c>
      <c r="C106" t="s">
        <v>81</v>
      </c>
      <c r="D106" t="s">
        <v>15</v>
      </c>
      <c r="E106" t="s">
        <v>22</v>
      </c>
      <c r="F106">
        <v>91739</v>
      </c>
      <c r="G106">
        <f>+YEAR(Tabla__192.168.1.8_POSEIDONSQL_APPFVT_01_SQLFacturasRendidas[[#This Row],[f_facturacion]])</f>
        <v>2018</v>
      </c>
      <c r="H10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06">
        <f>+IF(Tabla__192.168.1.8_POSEIDONSQL_APPFVT_01_SQLFacturasRendidas[[#This Row],[epc_nombre]]="RENDIDA",1,0)</f>
        <v>1</v>
      </c>
      <c r="J106">
        <f>+IF(Tabla__192.168.1.8_POSEIDONSQL_APPFVT_01_SQLFacturasRendidas[[#This Row],[usu_codigo]]="","",1)</f>
        <v>1</v>
      </c>
    </row>
    <row r="107" spans="1:10" x14ac:dyDescent="0.25">
      <c r="A107">
        <v>1</v>
      </c>
      <c r="B107">
        <v>3</v>
      </c>
      <c r="C107" t="s">
        <v>81</v>
      </c>
      <c r="D107" t="s">
        <v>15</v>
      </c>
      <c r="E107" t="s">
        <v>22</v>
      </c>
      <c r="F107">
        <v>91740</v>
      </c>
      <c r="G107">
        <f>+YEAR(Tabla__192.168.1.8_POSEIDONSQL_APPFVT_01_SQLFacturasRendidas[[#This Row],[f_facturacion]])</f>
        <v>2018</v>
      </c>
      <c r="H10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07">
        <f>+IF(Tabla__192.168.1.8_POSEIDONSQL_APPFVT_01_SQLFacturasRendidas[[#This Row],[epc_nombre]]="RENDIDA",1,0)</f>
        <v>1</v>
      </c>
      <c r="J107">
        <f>+IF(Tabla__192.168.1.8_POSEIDONSQL_APPFVT_01_SQLFacturasRendidas[[#This Row],[usu_codigo]]="","",1)</f>
        <v>1</v>
      </c>
    </row>
    <row r="108" spans="1:10" x14ac:dyDescent="0.25">
      <c r="A108">
        <v>1</v>
      </c>
      <c r="B108">
        <v>3</v>
      </c>
      <c r="C108" t="s">
        <v>81</v>
      </c>
      <c r="D108" t="s">
        <v>15</v>
      </c>
      <c r="E108" t="s">
        <v>22</v>
      </c>
      <c r="F108">
        <v>91741</v>
      </c>
      <c r="G108">
        <f>+YEAR(Tabla__192.168.1.8_POSEIDONSQL_APPFVT_01_SQLFacturasRendidas[[#This Row],[f_facturacion]])</f>
        <v>2018</v>
      </c>
      <c r="H10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08">
        <f>+IF(Tabla__192.168.1.8_POSEIDONSQL_APPFVT_01_SQLFacturasRendidas[[#This Row],[epc_nombre]]="RENDIDA",1,0)</f>
        <v>1</v>
      </c>
      <c r="J108">
        <f>+IF(Tabla__192.168.1.8_POSEIDONSQL_APPFVT_01_SQLFacturasRendidas[[#This Row],[usu_codigo]]="","",1)</f>
        <v>1</v>
      </c>
    </row>
    <row r="109" spans="1:10" x14ac:dyDescent="0.25">
      <c r="A109">
        <v>1</v>
      </c>
      <c r="B109">
        <v>3</v>
      </c>
      <c r="C109" t="s">
        <v>81</v>
      </c>
      <c r="D109" t="s">
        <v>15</v>
      </c>
      <c r="E109" t="s">
        <v>22</v>
      </c>
      <c r="F109">
        <v>91742</v>
      </c>
      <c r="G109">
        <f>+YEAR(Tabla__192.168.1.8_POSEIDONSQL_APPFVT_01_SQLFacturasRendidas[[#This Row],[f_facturacion]])</f>
        <v>2018</v>
      </c>
      <c r="H10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09">
        <f>+IF(Tabla__192.168.1.8_POSEIDONSQL_APPFVT_01_SQLFacturasRendidas[[#This Row],[epc_nombre]]="RENDIDA",1,0)</f>
        <v>1</v>
      </c>
      <c r="J109">
        <f>+IF(Tabla__192.168.1.8_POSEIDONSQL_APPFVT_01_SQLFacturasRendidas[[#This Row],[usu_codigo]]="","",1)</f>
        <v>1</v>
      </c>
    </row>
    <row r="110" spans="1:10" x14ac:dyDescent="0.25">
      <c r="A110">
        <v>1</v>
      </c>
      <c r="B110">
        <v>3</v>
      </c>
      <c r="C110" t="s">
        <v>81</v>
      </c>
      <c r="D110" t="s">
        <v>15</v>
      </c>
      <c r="E110" t="s">
        <v>22</v>
      </c>
      <c r="F110">
        <v>91743</v>
      </c>
      <c r="G110">
        <f>+YEAR(Tabla__192.168.1.8_POSEIDONSQL_APPFVT_01_SQLFacturasRendidas[[#This Row],[f_facturacion]])</f>
        <v>2018</v>
      </c>
      <c r="H11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10">
        <f>+IF(Tabla__192.168.1.8_POSEIDONSQL_APPFVT_01_SQLFacturasRendidas[[#This Row],[epc_nombre]]="RENDIDA",1,0)</f>
        <v>1</v>
      </c>
      <c r="J110">
        <f>+IF(Tabla__192.168.1.8_POSEIDONSQL_APPFVT_01_SQLFacturasRendidas[[#This Row],[usu_codigo]]="","",1)</f>
        <v>1</v>
      </c>
    </row>
    <row r="111" spans="1:10" x14ac:dyDescent="0.25">
      <c r="A111">
        <v>1</v>
      </c>
      <c r="B111">
        <v>3</v>
      </c>
      <c r="C111" t="s">
        <v>81</v>
      </c>
      <c r="D111" t="s">
        <v>15</v>
      </c>
      <c r="E111" t="s">
        <v>22</v>
      </c>
      <c r="F111">
        <v>91744</v>
      </c>
      <c r="G111">
        <f>+YEAR(Tabla__192.168.1.8_POSEIDONSQL_APPFVT_01_SQLFacturasRendidas[[#This Row],[f_facturacion]])</f>
        <v>2018</v>
      </c>
      <c r="H11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11">
        <f>+IF(Tabla__192.168.1.8_POSEIDONSQL_APPFVT_01_SQLFacturasRendidas[[#This Row],[epc_nombre]]="RENDIDA",1,0)</f>
        <v>1</v>
      </c>
      <c r="J111">
        <f>+IF(Tabla__192.168.1.8_POSEIDONSQL_APPFVT_01_SQLFacturasRendidas[[#This Row],[usu_codigo]]="","",1)</f>
        <v>1</v>
      </c>
    </row>
    <row r="112" spans="1:10" x14ac:dyDescent="0.25">
      <c r="A112">
        <v>1</v>
      </c>
      <c r="B112">
        <v>3</v>
      </c>
      <c r="C112" t="s">
        <v>81</v>
      </c>
      <c r="D112" t="s">
        <v>15</v>
      </c>
      <c r="E112" t="s">
        <v>22</v>
      </c>
      <c r="F112">
        <v>91745</v>
      </c>
      <c r="G112">
        <f>+YEAR(Tabla__192.168.1.8_POSEIDONSQL_APPFVT_01_SQLFacturasRendidas[[#This Row],[f_facturacion]])</f>
        <v>2018</v>
      </c>
      <c r="H11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12">
        <f>+IF(Tabla__192.168.1.8_POSEIDONSQL_APPFVT_01_SQLFacturasRendidas[[#This Row],[epc_nombre]]="RENDIDA",1,0)</f>
        <v>1</v>
      </c>
      <c r="J112">
        <f>+IF(Tabla__192.168.1.8_POSEIDONSQL_APPFVT_01_SQLFacturasRendidas[[#This Row],[usu_codigo]]="","",1)</f>
        <v>1</v>
      </c>
    </row>
    <row r="113" spans="1:10" x14ac:dyDescent="0.25">
      <c r="A113">
        <v>1</v>
      </c>
      <c r="B113">
        <v>3</v>
      </c>
      <c r="C113" t="s">
        <v>81</v>
      </c>
      <c r="D113" t="s">
        <v>15</v>
      </c>
      <c r="E113" t="s">
        <v>22</v>
      </c>
      <c r="F113">
        <v>91746</v>
      </c>
      <c r="G113">
        <f>+YEAR(Tabla__192.168.1.8_POSEIDONSQL_APPFVT_01_SQLFacturasRendidas[[#This Row],[f_facturacion]])</f>
        <v>2018</v>
      </c>
      <c r="H11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13">
        <f>+IF(Tabla__192.168.1.8_POSEIDONSQL_APPFVT_01_SQLFacturasRendidas[[#This Row],[epc_nombre]]="RENDIDA",1,0)</f>
        <v>1</v>
      </c>
      <c r="J113">
        <f>+IF(Tabla__192.168.1.8_POSEIDONSQL_APPFVT_01_SQLFacturasRendidas[[#This Row],[usu_codigo]]="","",1)</f>
        <v>1</v>
      </c>
    </row>
    <row r="114" spans="1:10" x14ac:dyDescent="0.25">
      <c r="A114">
        <v>1</v>
      </c>
      <c r="B114">
        <v>3</v>
      </c>
      <c r="C114" t="s">
        <v>81</v>
      </c>
      <c r="D114" t="s">
        <v>15</v>
      </c>
      <c r="E114" t="s">
        <v>22</v>
      </c>
      <c r="F114">
        <v>91747</v>
      </c>
      <c r="G114">
        <f>+YEAR(Tabla__192.168.1.8_POSEIDONSQL_APPFVT_01_SQLFacturasRendidas[[#This Row],[f_facturacion]])</f>
        <v>2018</v>
      </c>
      <c r="H11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14">
        <f>+IF(Tabla__192.168.1.8_POSEIDONSQL_APPFVT_01_SQLFacturasRendidas[[#This Row],[epc_nombre]]="RENDIDA",1,0)</f>
        <v>1</v>
      </c>
      <c r="J114">
        <f>+IF(Tabla__192.168.1.8_POSEIDONSQL_APPFVT_01_SQLFacturasRendidas[[#This Row],[usu_codigo]]="","",1)</f>
        <v>1</v>
      </c>
    </row>
    <row r="115" spans="1:10" x14ac:dyDescent="0.25">
      <c r="A115">
        <v>1</v>
      </c>
      <c r="B115">
        <v>3</v>
      </c>
      <c r="C115" t="s">
        <v>81</v>
      </c>
      <c r="D115" t="s">
        <v>15</v>
      </c>
      <c r="E115" t="s">
        <v>25</v>
      </c>
      <c r="F115">
        <v>91830</v>
      </c>
      <c r="G115">
        <f>+YEAR(Tabla__192.168.1.8_POSEIDONSQL_APPFVT_01_SQLFacturasRendidas[[#This Row],[f_facturacion]])</f>
        <v>2018</v>
      </c>
      <c r="H11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15">
        <f>+IF(Tabla__192.168.1.8_POSEIDONSQL_APPFVT_01_SQLFacturasRendidas[[#This Row],[epc_nombre]]="RENDIDA",1,0)</f>
        <v>1</v>
      </c>
      <c r="J115">
        <f>+IF(Tabla__192.168.1.8_POSEIDONSQL_APPFVT_01_SQLFacturasRendidas[[#This Row],[usu_codigo]]="","",1)</f>
        <v>1</v>
      </c>
    </row>
    <row r="116" spans="1:10" x14ac:dyDescent="0.25">
      <c r="A116">
        <v>1</v>
      </c>
      <c r="B116">
        <v>3</v>
      </c>
      <c r="C116" t="s">
        <v>81</v>
      </c>
      <c r="D116" t="s">
        <v>15</v>
      </c>
      <c r="E116" t="s">
        <v>25</v>
      </c>
      <c r="F116">
        <v>91831</v>
      </c>
      <c r="G116">
        <f>+YEAR(Tabla__192.168.1.8_POSEIDONSQL_APPFVT_01_SQLFacturasRendidas[[#This Row],[f_facturacion]])</f>
        <v>2018</v>
      </c>
      <c r="H11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16">
        <f>+IF(Tabla__192.168.1.8_POSEIDONSQL_APPFVT_01_SQLFacturasRendidas[[#This Row],[epc_nombre]]="RENDIDA",1,0)</f>
        <v>1</v>
      </c>
      <c r="J116">
        <f>+IF(Tabla__192.168.1.8_POSEIDONSQL_APPFVT_01_SQLFacturasRendidas[[#This Row],[usu_codigo]]="","",1)</f>
        <v>1</v>
      </c>
    </row>
    <row r="117" spans="1:10" x14ac:dyDescent="0.25">
      <c r="A117">
        <v>1</v>
      </c>
      <c r="B117">
        <v>3</v>
      </c>
      <c r="C117" t="s">
        <v>81</v>
      </c>
      <c r="D117" t="s">
        <v>15</v>
      </c>
      <c r="E117" t="s">
        <v>25</v>
      </c>
      <c r="F117">
        <v>91832</v>
      </c>
      <c r="G117">
        <f>+YEAR(Tabla__192.168.1.8_POSEIDONSQL_APPFVT_01_SQLFacturasRendidas[[#This Row],[f_facturacion]])</f>
        <v>2018</v>
      </c>
      <c r="H11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17">
        <f>+IF(Tabla__192.168.1.8_POSEIDONSQL_APPFVT_01_SQLFacturasRendidas[[#This Row],[epc_nombre]]="RENDIDA",1,0)</f>
        <v>1</v>
      </c>
      <c r="J117">
        <f>+IF(Tabla__192.168.1.8_POSEIDONSQL_APPFVT_01_SQLFacturasRendidas[[#This Row],[usu_codigo]]="","",1)</f>
        <v>1</v>
      </c>
    </row>
    <row r="118" spans="1:10" x14ac:dyDescent="0.25">
      <c r="A118">
        <v>1</v>
      </c>
      <c r="B118">
        <v>3</v>
      </c>
      <c r="C118" t="s">
        <v>81</v>
      </c>
      <c r="D118" t="s">
        <v>15</v>
      </c>
      <c r="E118" t="s">
        <v>25</v>
      </c>
      <c r="F118">
        <v>91833</v>
      </c>
      <c r="G118">
        <f>+YEAR(Tabla__192.168.1.8_POSEIDONSQL_APPFVT_01_SQLFacturasRendidas[[#This Row],[f_facturacion]])</f>
        <v>2018</v>
      </c>
      <c r="H11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18">
        <f>+IF(Tabla__192.168.1.8_POSEIDONSQL_APPFVT_01_SQLFacturasRendidas[[#This Row],[epc_nombre]]="RENDIDA",1,0)</f>
        <v>1</v>
      </c>
      <c r="J118">
        <f>+IF(Tabla__192.168.1.8_POSEIDONSQL_APPFVT_01_SQLFacturasRendidas[[#This Row],[usu_codigo]]="","",1)</f>
        <v>1</v>
      </c>
    </row>
    <row r="119" spans="1:10" x14ac:dyDescent="0.25">
      <c r="A119">
        <v>1</v>
      </c>
      <c r="B119">
        <v>3</v>
      </c>
      <c r="C119" t="s">
        <v>81</v>
      </c>
      <c r="D119" t="s">
        <v>15</v>
      </c>
      <c r="E119" t="s">
        <v>66</v>
      </c>
      <c r="F119">
        <v>92156</v>
      </c>
      <c r="G119">
        <f>+YEAR(Tabla__192.168.1.8_POSEIDONSQL_APPFVT_01_SQLFacturasRendidas[[#This Row],[f_facturacion]])</f>
        <v>2018</v>
      </c>
      <c r="H11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19">
        <f>+IF(Tabla__192.168.1.8_POSEIDONSQL_APPFVT_01_SQLFacturasRendidas[[#This Row],[epc_nombre]]="RENDIDA",1,0)</f>
        <v>1</v>
      </c>
      <c r="J119">
        <f>+IF(Tabla__192.168.1.8_POSEIDONSQL_APPFVT_01_SQLFacturasRendidas[[#This Row],[usu_codigo]]="","",1)</f>
        <v>1</v>
      </c>
    </row>
    <row r="120" spans="1:10" x14ac:dyDescent="0.25">
      <c r="A120">
        <v>1</v>
      </c>
      <c r="B120">
        <v>3</v>
      </c>
      <c r="C120" t="s">
        <v>81</v>
      </c>
      <c r="D120" t="s">
        <v>15</v>
      </c>
      <c r="E120" t="s">
        <v>66</v>
      </c>
      <c r="F120">
        <v>92157</v>
      </c>
      <c r="G120">
        <f>+YEAR(Tabla__192.168.1.8_POSEIDONSQL_APPFVT_01_SQLFacturasRendidas[[#This Row],[f_facturacion]])</f>
        <v>2018</v>
      </c>
      <c r="H12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20">
        <f>+IF(Tabla__192.168.1.8_POSEIDONSQL_APPFVT_01_SQLFacturasRendidas[[#This Row],[epc_nombre]]="RENDIDA",1,0)</f>
        <v>1</v>
      </c>
      <c r="J120">
        <f>+IF(Tabla__192.168.1.8_POSEIDONSQL_APPFVT_01_SQLFacturasRendidas[[#This Row],[usu_codigo]]="","",1)</f>
        <v>1</v>
      </c>
    </row>
    <row r="121" spans="1:10" x14ac:dyDescent="0.25">
      <c r="A121">
        <v>1</v>
      </c>
      <c r="B121">
        <v>3</v>
      </c>
      <c r="C121" t="s">
        <v>81</v>
      </c>
      <c r="D121" t="s">
        <v>15</v>
      </c>
      <c r="E121" t="s">
        <v>66</v>
      </c>
      <c r="F121">
        <v>92158</v>
      </c>
      <c r="G121">
        <f>+YEAR(Tabla__192.168.1.8_POSEIDONSQL_APPFVT_01_SQLFacturasRendidas[[#This Row],[f_facturacion]])</f>
        <v>2018</v>
      </c>
      <c r="H12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21">
        <f>+IF(Tabla__192.168.1.8_POSEIDONSQL_APPFVT_01_SQLFacturasRendidas[[#This Row],[epc_nombre]]="RENDIDA",1,0)</f>
        <v>1</v>
      </c>
      <c r="J121">
        <f>+IF(Tabla__192.168.1.8_POSEIDONSQL_APPFVT_01_SQLFacturasRendidas[[#This Row],[usu_codigo]]="","",1)</f>
        <v>1</v>
      </c>
    </row>
    <row r="122" spans="1:10" x14ac:dyDescent="0.25">
      <c r="A122">
        <v>1</v>
      </c>
      <c r="B122">
        <v>3</v>
      </c>
      <c r="C122" t="s">
        <v>81</v>
      </c>
      <c r="D122" t="s">
        <v>15</v>
      </c>
      <c r="E122" t="s">
        <v>66</v>
      </c>
      <c r="F122">
        <v>92159</v>
      </c>
      <c r="G122">
        <f>+YEAR(Tabla__192.168.1.8_POSEIDONSQL_APPFVT_01_SQLFacturasRendidas[[#This Row],[f_facturacion]])</f>
        <v>2018</v>
      </c>
      <c r="H12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22">
        <f>+IF(Tabla__192.168.1.8_POSEIDONSQL_APPFVT_01_SQLFacturasRendidas[[#This Row],[epc_nombre]]="RENDIDA",1,0)</f>
        <v>1</v>
      </c>
      <c r="J122">
        <f>+IF(Tabla__192.168.1.8_POSEIDONSQL_APPFVT_01_SQLFacturasRendidas[[#This Row],[usu_codigo]]="","",1)</f>
        <v>1</v>
      </c>
    </row>
    <row r="123" spans="1:10" x14ac:dyDescent="0.25">
      <c r="A123">
        <v>1</v>
      </c>
      <c r="B123">
        <v>3</v>
      </c>
      <c r="C123" t="s">
        <v>81</v>
      </c>
      <c r="D123" t="s">
        <v>15</v>
      </c>
      <c r="E123" t="s">
        <v>66</v>
      </c>
      <c r="F123">
        <v>92160</v>
      </c>
      <c r="G123">
        <f>+YEAR(Tabla__192.168.1.8_POSEIDONSQL_APPFVT_01_SQLFacturasRendidas[[#This Row],[f_facturacion]])</f>
        <v>2018</v>
      </c>
      <c r="H12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23">
        <f>+IF(Tabla__192.168.1.8_POSEIDONSQL_APPFVT_01_SQLFacturasRendidas[[#This Row],[epc_nombre]]="RENDIDA",1,0)</f>
        <v>1</v>
      </c>
      <c r="J123">
        <f>+IF(Tabla__192.168.1.8_POSEIDONSQL_APPFVT_01_SQLFacturasRendidas[[#This Row],[usu_codigo]]="","",1)</f>
        <v>1</v>
      </c>
    </row>
    <row r="124" spans="1:10" x14ac:dyDescent="0.25">
      <c r="A124">
        <v>1</v>
      </c>
      <c r="B124">
        <v>3</v>
      </c>
      <c r="C124" t="s">
        <v>81</v>
      </c>
      <c r="D124" t="s">
        <v>15</v>
      </c>
      <c r="E124" t="s">
        <v>66</v>
      </c>
      <c r="F124">
        <v>92161</v>
      </c>
      <c r="G124">
        <f>+YEAR(Tabla__192.168.1.8_POSEIDONSQL_APPFVT_01_SQLFacturasRendidas[[#This Row],[f_facturacion]])</f>
        <v>2018</v>
      </c>
      <c r="H12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24">
        <f>+IF(Tabla__192.168.1.8_POSEIDONSQL_APPFVT_01_SQLFacturasRendidas[[#This Row],[epc_nombre]]="RENDIDA",1,0)</f>
        <v>1</v>
      </c>
      <c r="J124">
        <f>+IF(Tabla__192.168.1.8_POSEIDONSQL_APPFVT_01_SQLFacturasRendidas[[#This Row],[usu_codigo]]="","",1)</f>
        <v>1</v>
      </c>
    </row>
    <row r="125" spans="1:10" x14ac:dyDescent="0.25">
      <c r="A125">
        <v>1</v>
      </c>
      <c r="B125">
        <v>3</v>
      </c>
      <c r="C125" t="s">
        <v>81</v>
      </c>
      <c r="D125" t="s">
        <v>15</v>
      </c>
      <c r="E125" t="s">
        <v>66</v>
      </c>
      <c r="F125">
        <v>92162</v>
      </c>
      <c r="G125">
        <f>+YEAR(Tabla__192.168.1.8_POSEIDONSQL_APPFVT_01_SQLFacturasRendidas[[#This Row],[f_facturacion]])</f>
        <v>2018</v>
      </c>
      <c r="H12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25">
        <f>+IF(Tabla__192.168.1.8_POSEIDONSQL_APPFVT_01_SQLFacturasRendidas[[#This Row],[epc_nombre]]="RENDIDA",1,0)</f>
        <v>1</v>
      </c>
      <c r="J125">
        <f>+IF(Tabla__192.168.1.8_POSEIDONSQL_APPFVT_01_SQLFacturasRendidas[[#This Row],[usu_codigo]]="","",1)</f>
        <v>1</v>
      </c>
    </row>
    <row r="126" spans="1:10" x14ac:dyDescent="0.25">
      <c r="A126">
        <v>1</v>
      </c>
      <c r="B126">
        <v>3</v>
      </c>
      <c r="C126" t="s">
        <v>81</v>
      </c>
      <c r="D126" t="s">
        <v>15</v>
      </c>
      <c r="E126" t="s">
        <v>66</v>
      </c>
      <c r="F126">
        <v>92163</v>
      </c>
      <c r="G126">
        <f>+YEAR(Tabla__192.168.1.8_POSEIDONSQL_APPFVT_01_SQLFacturasRendidas[[#This Row],[f_facturacion]])</f>
        <v>2018</v>
      </c>
      <c r="H12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26">
        <f>+IF(Tabla__192.168.1.8_POSEIDONSQL_APPFVT_01_SQLFacturasRendidas[[#This Row],[epc_nombre]]="RENDIDA",1,0)</f>
        <v>1</v>
      </c>
      <c r="J126">
        <f>+IF(Tabla__192.168.1.8_POSEIDONSQL_APPFVT_01_SQLFacturasRendidas[[#This Row],[usu_codigo]]="","",1)</f>
        <v>1</v>
      </c>
    </row>
    <row r="127" spans="1:10" x14ac:dyDescent="0.25">
      <c r="A127">
        <v>1</v>
      </c>
      <c r="B127">
        <v>3</v>
      </c>
      <c r="C127" t="s">
        <v>81</v>
      </c>
      <c r="D127" t="s">
        <v>15</v>
      </c>
      <c r="E127" t="s">
        <v>66</v>
      </c>
      <c r="F127">
        <v>92164</v>
      </c>
      <c r="G127">
        <f>+YEAR(Tabla__192.168.1.8_POSEIDONSQL_APPFVT_01_SQLFacturasRendidas[[#This Row],[f_facturacion]])</f>
        <v>2018</v>
      </c>
      <c r="H12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27">
        <f>+IF(Tabla__192.168.1.8_POSEIDONSQL_APPFVT_01_SQLFacturasRendidas[[#This Row],[epc_nombre]]="RENDIDA",1,0)</f>
        <v>1</v>
      </c>
      <c r="J127">
        <f>+IF(Tabla__192.168.1.8_POSEIDONSQL_APPFVT_01_SQLFacturasRendidas[[#This Row],[usu_codigo]]="","",1)</f>
        <v>1</v>
      </c>
    </row>
    <row r="128" spans="1:10" x14ac:dyDescent="0.25">
      <c r="A128">
        <v>1</v>
      </c>
      <c r="B128">
        <v>3</v>
      </c>
      <c r="C128" t="s">
        <v>81</v>
      </c>
      <c r="D128" t="s">
        <v>15</v>
      </c>
      <c r="E128" t="s">
        <v>66</v>
      </c>
      <c r="F128">
        <v>92165</v>
      </c>
      <c r="G128">
        <f>+YEAR(Tabla__192.168.1.8_POSEIDONSQL_APPFVT_01_SQLFacturasRendidas[[#This Row],[f_facturacion]])</f>
        <v>2018</v>
      </c>
      <c r="H12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28">
        <f>+IF(Tabla__192.168.1.8_POSEIDONSQL_APPFVT_01_SQLFacturasRendidas[[#This Row],[epc_nombre]]="RENDIDA",1,0)</f>
        <v>1</v>
      </c>
      <c r="J128">
        <f>+IF(Tabla__192.168.1.8_POSEIDONSQL_APPFVT_01_SQLFacturasRendidas[[#This Row],[usu_codigo]]="","",1)</f>
        <v>1</v>
      </c>
    </row>
    <row r="129" spans="1:10" x14ac:dyDescent="0.25">
      <c r="A129">
        <v>1</v>
      </c>
      <c r="B129">
        <v>3</v>
      </c>
      <c r="C129" t="s">
        <v>81</v>
      </c>
      <c r="D129" t="s">
        <v>15</v>
      </c>
      <c r="E129" t="s">
        <v>66</v>
      </c>
      <c r="F129">
        <v>92166</v>
      </c>
      <c r="G129">
        <f>+YEAR(Tabla__192.168.1.8_POSEIDONSQL_APPFVT_01_SQLFacturasRendidas[[#This Row],[f_facturacion]])</f>
        <v>2018</v>
      </c>
      <c r="H12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29">
        <f>+IF(Tabla__192.168.1.8_POSEIDONSQL_APPFVT_01_SQLFacturasRendidas[[#This Row],[epc_nombre]]="RENDIDA",1,0)</f>
        <v>1</v>
      </c>
      <c r="J129">
        <f>+IF(Tabla__192.168.1.8_POSEIDONSQL_APPFVT_01_SQLFacturasRendidas[[#This Row],[usu_codigo]]="","",1)</f>
        <v>1</v>
      </c>
    </row>
    <row r="130" spans="1:10" x14ac:dyDescent="0.25">
      <c r="A130">
        <v>1</v>
      </c>
      <c r="B130">
        <v>3</v>
      </c>
      <c r="C130" t="s">
        <v>81</v>
      </c>
      <c r="D130" t="s">
        <v>15</v>
      </c>
      <c r="E130" t="s">
        <v>66</v>
      </c>
      <c r="F130">
        <v>92167</v>
      </c>
      <c r="G130">
        <f>+YEAR(Tabla__192.168.1.8_POSEIDONSQL_APPFVT_01_SQLFacturasRendidas[[#This Row],[f_facturacion]])</f>
        <v>2018</v>
      </c>
      <c r="H13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30">
        <f>+IF(Tabla__192.168.1.8_POSEIDONSQL_APPFVT_01_SQLFacturasRendidas[[#This Row],[epc_nombre]]="RENDIDA",1,0)</f>
        <v>1</v>
      </c>
      <c r="J130">
        <f>+IF(Tabla__192.168.1.8_POSEIDONSQL_APPFVT_01_SQLFacturasRendidas[[#This Row],[usu_codigo]]="","",1)</f>
        <v>1</v>
      </c>
    </row>
    <row r="131" spans="1:10" x14ac:dyDescent="0.25">
      <c r="A131">
        <v>1</v>
      </c>
      <c r="B131">
        <v>3</v>
      </c>
      <c r="C131" t="s">
        <v>81</v>
      </c>
      <c r="D131" t="s">
        <v>15</v>
      </c>
      <c r="E131" t="s">
        <v>66</v>
      </c>
      <c r="F131">
        <v>92168</v>
      </c>
      <c r="G131">
        <f>+YEAR(Tabla__192.168.1.8_POSEIDONSQL_APPFVT_01_SQLFacturasRendidas[[#This Row],[f_facturacion]])</f>
        <v>2018</v>
      </c>
      <c r="H13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31">
        <f>+IF(Tabla__192.168.1.8_POSEIDONSQL_APPFVT_01_SQLFacturasRendidas[[#This Row],[epc_nombre]]="RENDIDA",1,0)</f>
        <v>1</v>
      </c>
      <c r="J131">
        <f>+IF(Tabla__192.168.1.8_POSEIDONSQL_APPFVT_01_SQLFacturasRendidas[[#This Row],[usu_codigo]]="","",1)</f>
        <v>1</v>
      </c>
    </row>
    <row r="132" spans="1:10" x14ac:dyDescent="0.25">
      <c r="A132">
        <v>1</v>
      </c>
      <c r="B132">
        <v>3</v>
      </c>
      <c r="C132" t="s">
        <v>81</v>
      </c>
      <c r="D132" t="s">
        <v>15</v>
      </c>
      <c r="E132" t="s">
        <v>66</v>
      </c>
      <c r="F132">
        <v>92169</v>
      </c>
      <c r="G132">
        <f>+YEAR(Tabla__192.168.1.8_POSEIDONSQL_APPFVT_01_SQLFacturasRendidas[[#This Row],[f_facturacion]])</f>
        <v>2018</v>
      </c>
      <c r="H13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32">
        <f>+IF(Tabla__192.168.1.8_POSEIDONSQL_APPFVT_01_SQLFacturasRendidas[[#This Row],[epc_nombre]]="RENDIDA",1,0)</f>
        <v>1</v>
      </c>
      <c r="J132">
        <f>+IF(Tabla__192.168.1.8_POSEIDONSQL_APPFVT_01_SQLFacturasRendidas[[#This Row],[usu_codigo]]="","",1)</f>
        <v>1</v>
      </c>
    </row>
    <row r="133" spans="1:10" x14ac:dyDescent="0.25">
      <c r="A133">
        <v>1</v>
      </c>
      <c r="B133">
        <v>3</v>
      </c>
      <c r="C133" t="s">
        <v>81</v>
      </c>
      <c r="D133" t="s">
        <v>15</v>
      </c>
      <c r="E133" t="s">
        <v>66</v>
      </c>
      <c r="F133">
        <v>92170</v>
      </c>
      <c r="G133">
        <f>+YEAR(Tabla__192.168.1.8_POSEIDONSQL_APPFVT_01_SQLFacturasRendidas[[#This Row],[f_facturacion]])</f>
        <v>2018</v>
      </c>
      <c r="H13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33">
        <f>+IF(Tabla__192.168.1.8_POSEIDONSQL_APPFVT_01_SQLFacturasRendidas[[#This Row],[epc_nombre]]="RENDIDA",1,0)</f>
        <v>1</v>
      </c>
      <c r="J133">
        <f>+IF(Tabla__192.168.1.8_POSEIDONSQL_APPFVT_01_SQLFacturasRendidas[[#This Row],[usu_codigo]]="","",1)</f>
        <v>1</v>
      </c>
    </row>
    <row r="134" spans="1:10" x14ac:dyDescent="0.25">
      <c r="A134">
        <v>1</v>
      </c>
      <c r="B134">
        <v>3</v>
      </c>
      <c r="C134" t="s">
        <v>81</v>
      </c>
      <c r="D134" t="s">
        <v>15</v>
      </c>
      <c r="E134" t="s">
        <v>66</v>
      </c>
      <c r="F134">
        <v>92171</v>
      </c>
      <c r="G134">
        <f>+YEAR(Tabla__192.168.1.8_POSEIDONSQL_APPFVT_01_SQLFacturasRendidas[[#This Row],[f_facturacion]])</f>
        <v>2018</v>
      </c>
      <c r="H13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34">
        <f>+IF(Tabla__192.168.1.8_POSEIDONSQL_APPFVT_01_SQLFacturasRendidas[[#This Row],[epc_nombre]]="RENDIDA",1,0)</f>
        <v>1</v>
      </c>
      <c r="J134">
        <f>+IF(Tabla__192.168.1.8_POSEIDONSQL_APPFVT_01_SQLFacturasRendidas[[#This Row],[usu_codigo]]="","",1)</f>
        <v>1</v>
      </c>
    </row>
    <row r="135" spans="1:10" x14ac:dyDescent="0.25">
      <c r="A135">
        <v>1</v>
      </c>
      <c r="B135">
        <v>3</v>
      </c>
      <c r="C135" t="s">
        <v>81</v>
      </c>
      <c r="D135" t="s">
        <v>15</v>
      </c>
      <c r="E135" t="s">
        <v>66</v>
      </c>
      <c r="F135">
        <v>92172</v>
      </c>
      <c r="G135">
        <f>+YEAR(Tabla__192.168.1.8_POSEIDONSQL_APPFVT_01_SQLFacturasRendidas[[#This Row],[f_facturacion]])</f>
        <v>2018</v>
      </c>
      <c r="H13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35">
        <f>+IF(Tabla__192.168.1.8_POSEIDONSQL_APPFVT_01_SQLFacturasRendidas[[#This Row],[epc_nombre]]="RENDIDA",1,0)</f>
        <v>1</v>
      </c>
      <c r="J135">
        <f>+IF(Tabla__192.168.1.8_POSEIDONSQL_APPFVT_01_SQLFacturasRendidas[[#This Row],[usu_codigo]]="","",1)</f>
        <v>1</v>
      </c>
    </row>
    <row r="136" spans="1:10" x14ac:dyDescent="0.25">
      <c r="A136">
        <v>1</v>
      </c>
      <c r="B136">
        <v>3</v>
      </c>
      <c r="C136" t="s">
        <v>81</v>
      </c>
      <c r="D136" t="s">
        <v>15</v>
      </c>
      <c r="E136" t="s">
        <v>66</v>
      </c>
      <c r="F136">
        <v>92173</v>
      </c>
      <c r="G136">
        <f>+YEAR(Tabla__192.168.1.8_POSEIDONSQL_APPFVT_01_SQLFacturasRendidas[[#This Row],[f_facturacion]])</f>
        <v>2018</v>
      </c>
      <c r="H13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36">
        <f>+IF(Tabla__192.168.1.8_POSEIDONSQL_APPFVT_01_SQLFacturasRendidas[[#This Row],[epc_nombre]]="RENDIDA",1,0)</f>
        <v>1</v>
      </c>
      <c r="J136">
        <f>+IF(Tabla__192.168.1.8_POSEIDONSQL_APPFVT_01_SQLFacturasRendidas[[#This Row],[usu_codigo]]="","",1)</f>
        <v>1</v>
      </c>
    </row>
    <row r="137" spans="1:10" x14ac:dyDescent="0.25">
      <c r="A137">
        <v>1</v>
      </c>
      <c r="B137">
        <v>3</v>
      </c>
      <c r="C137" t="s">
        <v>81</v>
      </c>
      <c r="D137" t="s">
        <v>15</v>
      </c>
      <c r="E137" t="s">
        <v>66</v>
      </c>
      <c r="F137">
        <v>92174</v>
      </c>
      <c r="G137">
        <f>+YEAR(Tabla__192.168.1.8_POSEIDONSQL_APPFVT_01_SQLFacturasRendidas[[#This Row],[f_facturacion]])</f>
        <v>2018</v>
      </c>
      <c r="H13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37">
        <f>+IF(Tabla__192.168.1.8_POSEIDONSQL_APPFVT_01_SQLFacturasRendidas[[#This Row],[epc_nombre]]="RENDIDA",1,0)</f>
        <v>1</v>
      </c>
      <c r="J137">
        <f>+IF(Tabla__192.168.1.8_POSEIDONSQL_APPFVT_01_SQLFacturasRendidas[[#This Row],[usu_codigo]]="","",1)</f>
        <v>1</v>
      </c>
    </row>
    <row r="138" spans="1:10" x14ac:dyDescent="0.25">
      <c r="A138">
        <v>1</v>
      </c>
      <c r="B138">
        <v>3</v>
      </c>
      <c r="C138" t="s">
        <v>81</v>
      </c>
      <c r="D138" t="s">
        <v>15</v>
      </c>
      <c r="E138" t="s">
        <v>66</v>
      </c>
      <c r="F138">
        <v>92175</v>
      </c>
      <c r="G138">
        <f>+YEAR(Tabla__192.168.1.8_POSEIDONSQL_APPFVT_01_SQLFacturasRendidas[[#This Row],[f_facturacion]])</f>
        <v>2018</v>
      </c>
      <c r="H13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38">
        <f>+IF(Tabla__192.168.1.8_POSEIDONSQL_APPFVT_01_SQLFacturasRendidas[[#This Row],[epc_nombre]]="RENDIDA",1,0)</f>
        <v>1</v>
      </c>
      <c r="J138">
        <f>+IF(Tabla__192.168.1.8_POSEIDONSQL_APPFVT_01_SQLFacturasRendidas[[#This Row],[usu_codigo]]="","",1)</f>
        <v>1</v>
      </c>
    </row>
    <row r="139" spans="1:10" x14ac:dyDescent="0.25">
      <c r="A139">
        <v>1</v>
      </c>
      <c r="B139">
        <v>3</v>
      </c>
      <c r="C139" t="s">
        <v>81</v>
      </c>
      <c r="D139" t="s">
        <v>15</v>
      </c>
      <c r="E139" t="s">
        <v>66</v>
      </c>
      <c r="F139">
        <v>92176</v>
      </c>
      <c r="G139">
        <f>+YEAR(Tabla__192.168.1.8_POSEIDONSQL_APPFVT_01_SQLFacturasRendidas[[#This Row],[f_facturacion]])</f>
        <v>2018</v>
      </c>
      <c r="H13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39">
        <f>+IF(Tabla__192.168.1.8_POSEIDONSQL_APPFVT_01_SQLFacturasRendidas[[#This Row],[epc_nombre]]="RENDIDA",1,0)</f>
        <v>1</v>
      </c>
      <c r="J139">
        <f>+IF(Tabla__192.168.1.8_POSEIDONSQL_APPFVT_01_SQLFacturasRendidas[[#This Row],[usu_codigo]]="","",1)</f>
        <v>1</v>
      </c>
    </row>
    <row r="140" spans="1:10" x14ac:dyDescent="0.25">
      <c r="A140">
        <v>1</v>
      </c>
      <c r="B140">
        <v>3</v>
      </c>
      <c r="C140" t="s">
        <v>81</v>
      </c>
      <c r="D140" t="s">
        <v>15</v>
      </c>
      <c r="E140" t="s">
        <v>66</v>
      </c>
      <c r="F140">
        <v>92177</v>
      </c>
      <c r="G140">
        <f>+YEAR(Tabla__192.168.1.8_POSEIDONSQL_APPFVT_01_SQLFacturasRendidas[[#This Row],[f_facturacion]])</f>
        <v>2018</v>
      </c>
      <c r="H14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40">
        <f>+IF(Tabla__192.168.1.8_POSEIDONSQL_APPFVT_01_SQLFacturasRendidas[[#This Row],[epc_nombre]]="RENDIDA",1,0)</f>
        <v>1</v>
      </c>
      <c r="J140">
        <f>+IF(Tabla__192.168.1.8_POSEIDONSQL_APPFVT_01_SQLFacturasRendidas[[#This Row],[usu_codigo]]="","",1)</f>
        <v>1</v>
      </c>
    </row>
    <row r="141" spans="1:10" x14ac:dyDescent="0.25">
      <c r="A141">
        <v>1</v>
      </c>
      <c r="B141">
        <v>3</v>
      </c>
      <c r="C141" t="s">
        <v>81</v>
      </c>
      <c r="D141" t="s">
        <v>15</v>
      </c>
      <c r="E141" t="s">
        <v>66</v>
      </c>
      <c r="F141">
        <v>92178</v>
      </c>
      <c r="G141">
        <f>+YEAR(Tabla__192.168.1.8_POSEIDONSQL_APPFVT_01_SQLFacturasRendidas[[#This Row],[f_facturacion]])</f>
        <v>2018</v>
      </c>
      <c r="H14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41">
        <f>+IF(Tabla__192.168.1.8_POSEIDONSQL_APPFVT_01_SQLFacturasRendidas[[#This Row],[epc_nombre]]="RENDIDA",1,0)</f>
        <v>1</v>
      </c>
      <c r="J141">
        <f>+IF(Tabla__192.168.1.8_POSEIDONSQL_APPFVT_01_SQLFacturasRendidas[[#This Row],[usu_codigo]]="","",1)</f>
        <v>1</v>
      </c>
    </row>
    <row r="142" spans="1:10" x14ac:dyDescent="0.25">
      <c r="A142">
        <v>1</v>
      </c>
      <c r="B142">
        <v>3</v>
      </c>
      <c r="C142" t="s">
        <v>81</v>
      </c>
      <c r="D142" t="s">
        <v>15</v>
      </c>
      <c r="E142" t="s">
        <v>66</v>
      </c>
      <c r="F142">
        <v>92179</v>
      </c>
      <c r="G142">
        <f>+YEAR(Tabla__192.168.1.8_POSEIDONSQL_APPFVT_01_SQLFacturasRendidas[[#This Row],[f_facturacion]])</f>
        <v>2018</v>
      </c>
      <c r="H14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42">
        <f>+IF(Tabla__192.168.1.8_POSEIDONSQL_APPFVT_01_SQLFacturasRendidas[[#This Row],[epc_nombre]]="RENDIDA",1,0)</f>
        <v>1</v>
      </c>
      <c r="J142">
        <f>+IF(Tabla__192.168.1.8_POSEIDONSQL_APPFVT_01_SQLFacturasRendidas[[#This Row],[usu_codigo]]="","",1)</f>
        <v>1</v>
      </c>
    </row>
    <row r="143" spans="1:10" x14ac:dyDescent="0.25">
      <c r="A143">
        <v>1</v>
      </c>
      <c r="B143">
        <v>3</v>
      </c>
      <c r="C143" t="s">
        <v>81</v>
      </c>
      <c r="D143" t="s">
        <v>15</v>
      </c>
      <c r="E143" t="s">
        <v>66</v>
      </c>
      <c r="F143">
        <v>92180</v>
      </c>
      <c r="G143">
        <f>+YEAR(Tabla__192.168.1.8_POSEIDONSQL_APPFVT_01_SQLFacturasRendidas[[#This Row],[f_facturacion]])</f>
        <v>2018</v>
      </c>
      <c r="H14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43">
        <f>+IF(Tabla__192.168.1.8_POSEIDONSQL_APPFVT_01_SQLFacturasRendidas[[#This Row],[epc_nombre]]="RENDIDA",1,0)</f>
        <v>1</v>
      </c>
      <c r="J143">
        <f>+IF(Tabla__192.168.1.8_POSEIDONSQL_APPFVT_01_SQLFacturasRendidas[[#This Row],[usu_codigo]]="","",1)</f>
        <v>1</v>
      </c>
    </row>
    <row r="144" spans="1:10" x14ac:dyDescent="0.25">
      <c r="A144">
        <v>1</v>
      </c>
      <c r="B144">
        <v>3</v>
      </c>
      <c r="C144" t="s">
        <v>81</v>
      </c>
      <c r="D144" t="s">
        <v>15</v>
      </c>
      <c r="E144" t="s">
        <v>66</v>
      </c>
      <c r="F144">
        <v>92181</v>
      </c>
      <c r="G144">
        <f>+YEAR(Tabla__192.168.1.8_POSEIDONSQL_APPFVT_01_SQLFacturasRendidas[[#This Row],[f_facturacion]])</f>
        <v>2018</v>
      </c>
      <c r="H14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44">
        <f>+IF(Tabla__192.168.1.8_POSEIDONSQL_APPFVT_01_SQLFacturasRendidas[[#This Row],[epc_nombre]]="RENDIDA",1,0)</f>
        <v>1</v>
      </c>
      <c r="J144">
        <f>+IF(Tabla__192.168.1.8_POSEIDONSQL_APPFVT_01_SQLFacturasRendidas[[#This Row],[usu_codigo]]="","",1)</f>
        <v>1</v>
      </c>
    </row>
    <row r="145" spans="1:10" x14ac:dyDescent="0.25">
      <c r="A145">
        <v>1</v>
      </c>
      <c r="B145">
        <v>3</v>
      </c>
      <c r="C145" t="s">
        <v>81</v>
      </c>
      <c r="D145" t="s">
        <v>15</v>
      </c>
      <c r="E145" t="s">
        <v>66</v>
      </c>
      <c r="F145">
        <v>92182</v>
      </c>
      <c r="G145">
        <f>+YEAR(Tabla__192.168.1.8_POSEIDONSQL_APPFVT_01_SQLFacturasRendidas[[#This Row],[f_facturacion]])</f>
        <v>2018</v>
      </c>
      <c r="H14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45">
        <f>+IF(Tabla__192.168.1.8_POSEIDONSQL_APPFVT_01_SQLFacturasRendidas[[#This Row],[epc_nombre]]="RENDIDA",1,0)</f>
        <v>1</v>
      </c>
      <c r="J145">
        <f>+IF(Tabla__192.168.1.8_POSEIDONSQL_APPFVT_01_SQLFacturasRendidas[[#This Row],[usu_codigo]]="","",1)</f>
        <v>1</v>
      </c>
    </row>
    <row r="146" spans="1:10" x14ac:dyDescent="0.25">
      <c r="A146">
        <v>1</v>
      </c>
      <c r="B146">
        <v>3</v>
      </c>
      <c r="C146" t="s">
        <v>81</v>
      </c>
      <c r="D146" t="s">
        <v>15</v>
      </c>
      <c r="E146" t="s">
        <v>66</v>
      </c>
      <c r="F146">
        <v>92183</v>
      </c>
      <c r="G146">
        <f>+YEAR(Tabla__192.168.1.8_POSEIDONSQL_APPFVT_01_SQLFacturasRendidas[[#This Row],[f_facturacion]])</f>
        <v>2018</v>
      </c>
      <c r="H14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46">
        <f>+IF(Tabla__192.168.1.8_POSEIDONSQL_APPFVT_01_SQLFacturasRendidas[[#This Row],[epc_nombre]]="RENDIDA",1,0)</f>
        <v>1</v>
      </c>
      <c r="J146">
        <f>+IF(Tabla__192.168.1.8_POSEIDONSQL_APPFVT_01_SQLFacturasRendidas[[#This Row],[usu_codigo]]="","",1)</f>
        <v>1</v>
      </c>
    </row>
    <row r="147" spans="1:10" x14ac:dyDescent="0.25">
      <c r="A147">
        <v>1</v>
      </c>
      <c r="B147">
        <v>3</v>
      </c>
      <c r="C147" t="s">
        <v>81</v>
      </c>
      <c r="D147" t="s">
        <v>15</v>
      </c>
      <c r="E147" t="s">
        <v>66</v>
      </c>
      <c r="F147">
        <v>92184</v>
      </c>
      <c r="G147">
        <f>+YEAR(Tabla__192.168.1.8_POSEIDONSQL_APPFVT_01_SQLFacturasRendidas[[#This Row],[f_facturacion]])</f>
        <v>2018</v>
      </c>
      <c r="H14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47">
        <f>+IF(Tabla__192.168.1.8_POSEIDONSQL_APPFVT_01_SQLFacturasRendidas[[#This Row],[epc_nombre]]="RENDIDA",1,0)</f>
        <v>1</v>
      </c>
      <c r="J147">
        <f>+IF(Tabla__192.168.1.8_POSEIDONSQL_APPFVT_01_SQLFacturasRendidas[[#This Row],[usu_codigo]]="","",1)</f>
        <v>1</v>
      </c>
    </row>
    <row r="148" spans="1:10" x14ac:dyDescent="0.25">
      <c r="A148">
        <v>1</v>
      </c>
      <c r="B148">
        <v>3</v>
      </c>
      <c r="C148" t="s">
        <v>81</v>
      </c>
      <c r="D148" t="s">
        <v>15</v>
      </c>
      <c r="E148" t="s">
        <v>66</v>
      </c>
      <c r="F148">
        <v>92185</v>
      </c>
      <c r="G148">
        <f>+YEAR(Tabla__192.168.1.8_POSEIDONSQL_APPFVT_01_SQLFacturasRendidas[[#This Row],[f_facturacion]])</f>
        <v>2018</v>
      </c>
      <c r="H14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48">
        <f>+IF(Tabla__192.168.1.8_POSEIDONSQL_APPFVT_01_SQLFacturasRendidas[[#This Row],[epc_nombre]]="RENDIDA",1,0)</f>
        <v>1</v>
      </c>
      <c r="J148">
        <f>+IF(Tabla__192.168.1.8_POSEIDONSQL_APPFVT_01_SQLFacturasRendidas[[#This Row],[usu_codigo]]="","",1)</f>
        <v>1</v>
      </c>
    </row>
    <row r="149" spans="1:10" x14ac:dyDescent="0.25">
      <c r="A149">
        <v>1</v>
      </c>
      <c r="B149">
        <v>3</v>
      </c>
      <c r="C149" t="s">
        <v>81</v>
      </c>
      <c r="D149" t="s">
        <v>15</v>
      </c>
      <c r="E149" t="s">
        <v>66</v>
      </c>
      <c r="F149">
        <v>92186</v>
      </c>
      <c r="G149">
        <f>+YEAR(Tabla__192.168.1.8_POSEIDONSQL_APPFVT_01_SQLFacturasRendidas[[#This Row],[f_facturacion]])</f>
        <v>2018</v>
      </c>
      <c r="H14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49">
        <f>+IF(Tabla__192.168.1.8_POSEIDONSQL_APPFVT_01_SQLFacturasRendidas[[#This Row],[epc_nombre]]="RENDIDA",1,0)</f>
        <v>1</v>
      </c>
      <c r="J149">
        <f>+IF(Tabla__192.168.1.8_POSEIDONSQL_APPFVT_01_SQLFacturasRendidas[[#This Row],[usu_codigo]]="","",1)</f>
        <v>1</v>
      </c>
    </row>
    <row r="150" spans="1:10" x14ac:dyDescent="0.25">
      <c r="A150">
        <v>1</v>
      </c>
      <c r="B150">
        <v>3</v>
      </c>
      <c r="C150" t="s">
        <v>81</v>
      </c>
      <c r="D150" t="s">
        <v>15</v>
      </c>
      <c r="E150" t="s">
        <v>66</v>
      </c>
      <c r="F150">
        <v>92187</v>
      </c>
      <c r="G150">
        <f>+YEAR(Tabla__192.168.1.8_POSEIDONSQL_APPFVT_01_SQLFacturasRendidas[[#This Row],[f_facturacion]])</f>
        <v>2018</v>
      </c>
      <c r="H15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50">
        <f>+IF(Tabla__192.168.1.8_POSEIDONSQL_APPFVT_01_SQLFacturasRendidas[[#This Row],[epc_nombre]]="RENDIDA",1,0)</f>
        <v>1</v>
      </c>
      <c r="J150">
        <f>+IF(Tabla__192.168.1.8_POSEIDONSQL_APPFVT_01_SQLFacturasRendidas[[#This Row],[usu_codigo]]="","",1)</f>
        <v>1</v>
      </c>
    </row>
    <row r="151" spans="1:10" x14ac:dyDescent="0.25">
      <c r="A151">
        <v>1</v>
      </c>
      <c r="B151">
        <v>3</v>
      </c>
      <c r="C151" t="s">
        <v>81</v>
      </c>
      <c r="D151" t="s">
        <v>15</v>
      </c>
      <c r="E151" t="s">
        <v>66</v>
      </c>
      <c r="F151">
        <v>92188</v>
      </c>
      <c r="G151">
        <f>+YEAR(Tabla__192.168.1.8_POSEIDONSQL_APPFVT_01_SQLFacturasRendidas[[#This Row],[f_facturacion]])</f>
        <v>2018</v>
      </c>
      <c r="H15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51">
        <f>+IF(Tabla__192.168.1.8_POSEIDONSQL_APPFVT_01_SQLFacturasRendidas[[#This Row],[epc_nombre]]="RENDIDA",1,0)</f>
        <v>1</v>
      </c>
      <c r="J151">
        <f>+IF(Tabla__192.168.1.8_POSEIDONSQL_APPFVT_01_SQLFacturasRendidas[[#This Row],[usu_codigo]]="","",1)</f>
        <v>1</v>
      </c>
    </row>
    <row r="152" spans="1:10" x14ac:dyDescent="0.25">
      <c r="A152">
        <v>1</v>
      </c>
      <c r="B152">
        <v>3</v>
      </c>
      <c r="C152" t="s">
        <v>81</v>
      </c>
      <c r="D152" t="s">
        <v>15</v>
      </c>
      <c r="E152" t="s">
        <v>66</v>
      </c>
      <c r="F152">
        <v>92189</v>
      </c>
      <c r="G152">
        <f>+YEAR(Tabla__192.168.1.8_POSEIDONSQL_APPFVT_01_SQLFacturasRendidas[[#This Row],[f_facturacion]])</f>
        <v>2018</v>
      </c>
      <c r="H15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52">
        <f>+IF(Tabla__192.168.1.8_POSEIDONSQL_APPFVT_01_SQLFacturasRendidas[[#This Row],[epc_nombre]]="RENDIDA",1,0)</f>
        <v>1</v>
      </c>
      <c r="J152">
        <f>+IF(Tabla__192.168.1.8_POSEIDONSQL_APPFVT_01_SQLFacturasRendidas[[#This Row],[usu_codigo]]="","",1)</f>
        <v>1</v>
      </c>
    </row>
    <row r="153" spans="1:10" x14ac:dyDescent="0.25">
      <c r="A153">
        <v>1</v>
      </c>
      <c r="B153">
        <v>3</v>
      </c>
      <c r="C153" t="s">
        <v>81</v>
      </c>
      <c r="D153" t="s">
        <v>15</v>
      </c>
      <c r="E153" t="s">
        <v>66</v>
      </c>
      <c r="F153">
        <v>92190</v>
      </c>
      <c r="G153">
        <f>+YEAR(Tabla__192.168.1.8_POSEIDONSQL_APPFVT_01_SQLFacturasRendidas[[#This Row],[f_facturacion]])</f>
        <v>2018</v>
      </c>
      <c r="H15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53">
        <f>+IF(Tabla__192.168.1.8_POSEIDONSQL_APPFVT_01_SQLFacturasRendidas[[#This Row],[epc_nombre]]="RENDIDA",1,0)</f>
        <v>1</v>
      </c>
      <c r="J153">
        <f>+IF(Tabla__192.168.1.8_POSEIDONSQL_APPFVT_01_SQLFacturasRendidas[[#This Row],[usu_codigo]]="","",1)</f>
        <v>1</v>
      </c>
    </row>
    <row r="154" spans="1:10" x14ac:dyDescent="0.25">
      <c r="A154">
        <v>1</v>
      </c>
      <c r="B154">
        <v>3</v>
      </c>
      <c r="C154" t="s">
        <v>81</v>
      </c>
      <c r="D154" t="s">
        <v>15</v>
      </c>
      <c r="E154" t="s">
        <v>66</v>
      </c>
      <c r="F154">
        <v>92191</v>
      </c>
      <c r="G154">
        <f>+YEAR(Tabla__192.168.1.8_POSEIDONSQL_APPFVT_01_SQLFacturasRendidas[[#This Row],[f_facturacion]])</f>
        <v>2018</v>
      </c>
      <c r="H15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54">
        <f>+IF(Tabla__192.168.1.8_POSEIDONSQL_APPFVT_01_SQLFacturasRendidas[[#This Row],[epc_nombre]]="RENDIDA",1,0)</f>
        <v>1</v>
      </c>
      <c r="J154">
        <f>+IF(Tabla__192.168.1.8_POSEIDONSQL_APPFVT_01_SQLFacturasRendidas[[#This Row],[usu_codigo]]="","",1)</f>
        <v>1</v>
      </c>
    </row>
    <row r="155" spans="1:10" x14ac:dyDescent="0.25">
      <c r="A155">
        <v>1</v>
      </c>
      <c r="B155">
        <v>3</v>
      </c>
      <c r="C155" t="s">
        <v>81</v>
      </c>
      <c r="D155" t="s">
        <v>15</v>
      </c>
      <c r="E155" t="s">
        <v>66</v>
      </c>
      <c r="F155">
        <v>92192</v>
      </c>
      <c r="G155">
        <f>+YEAR(Tabla__192.168.1.8_POSEIDONSQL_APPFVT_01_SQLFacturasRendidas[[#This Row],[f_facturacion]])</f>
        <v>2018</v>
      </c>
      <c r="H15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55">
        <f>+IF(Tabla__192.168.1.8_POSEIDONSQL_APPFVT_01_SQLFacturasRendidas[[#This Row],[epc_nombre]]="RENDIDA",1,0)</f>
        <v>1</v>
      </c>
      <c r="J155">
        <f>+IF(Tabla__192.168.1.8_POSEIDONSQL_APPFVT_01_SQLFacturasRendidas[[#This Row],[usu_codigo]]="","",1)</f>
        <v>1</v>
      </c>
    </row>
    <row r="156" spans="1:10" x14ac:dyDescent="0.25">
      <c r="A156">
        <v>1</v>
      </c>
      <c r="B156">
        <v>3</v>
      </c>
      <c r="C156" t="s">
        <v>81</v>
      </c>
      <c r="D156" t="s">
        <v>15</v>
      </c>
      <c r="E156" t="s">
        <v>46</v>
      </c>
      <c r="F156">
        <v>92256</v>
      </c>
      <c r="G156">
        <f>+YEAR(Tabla__192.168.1.8_POSEIDONSQL_APPFVT_01_SQLFacturasRendidas[[#This Row],[f_facturacion]])</f>
        <v>2018</v>
      </c>
      <c r="H15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56">
        <f>+IF(Tabla__192.168.1.8_POSEIDONSQL_APPFVT_01_SQLFacturasRendidas[[#This Row],[epc_nombre]]="RENDIDA",1,0)</f>
        <v>1</v>
      </c>
      <c r="J156">
        <f>+IF(Tabla__192.168.1.8_POSEIDONSQL_APPFVT_01_SQLFacturasRendidas[[#This Row],[usu_codigo]]="","",1)</f>
        <v>1</v>
      </c>
    </row>
    <row r="157" spans="1:10" x14ac:dyDescent="0.25">
      <c r="A157">
        <v>1</v>
      </c>
      <c r="B157">
        <v>3</v>
      </c>
      <c r="C157" t="s">
        <v>81</v>
      </c>
      <c r="D157" t="s">
        <v>15</v>
      </c>
      <c r="E157" t="s">
        <v>46</v>
      </c>
      <c r="F157">
        <v>92257</v>
      </c>
      <c r="G157">
        <f>+YEAR(Tabla__192.168.1.8_POSEIDONSQL_APPFVT_01_SQLFacturasRendidas[[#This Row],[f_facturacion]])</f>
        <v>2018</v>
      </c>
      <c r="H15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57">
        <f>+IF(Tabla__192.168.1.8_POSEIDONSQL_APPFVT_01_SQLFacturasRendidas[[#This Row],[epc_nombre]]="RENDIDA",1,0)</f>
        <v>1</v>
      </c>
      <c r="J157">
        <f>+IF(Tabla__192.168.1.8_POSEIDONSQL_APPFVT_01_SQLFacturasRendidas[[#This Row],[usu_codigo]]="","",1)</f>
        <v>1</v>
      </c>
    </row>
    <row r="158" spans="1:10" x14ac:dyDescent="0.25">
      <c r="A158">
        <v>1</v>
      </c>
      <c r="B158">
        <v>3</v>
      </c>
      <c r="C158" t="s">
        <v>81</v>
      </c>
      <c r="D158" t="s">
        <v>15</v>
      </c>
      <c r="E158" t="s">
        <v>49</v>
      </c>
      <c r="F158">
        <v>92576</v>
      </c>
      <c r="G158">
        <f>+YEAR(Tabla__192.168.1.8_POSEIDONSQL_APPFVT_01_SQLFacturasRendidas[[#This Row],[f_facturacion]])</f>
        <v>2018</v>
      </c>
      <c r="H15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58">
        <f>+IF(Tabla__192.168.1.8_POSEIDONSQL_APPFVT_01_SQLFacturasRendidas[[#This Row],[epc_nombre]]="RENDIDA",1,0)</f>
        <v>1</v>
      </c>
      <c r="J158">
        <f>+IF(Tabla__192.168.1.8_POSEIDONSQL_APPFVT_01_SQLFacturasRendidas[[#This Row],[usu_codigo]]="","",1)</f>
        <v>1</v>
      </c>
    </row>
    <row r="159" spans="1:10" x14ac:dyDescent="0.25">
      <c r="A159">
        <v>1</v>
      </c>
      <c r="B159">
        <v>3</v>
      </c>
      <c r="C159" t="s">
        <v>81</v>
      </c>
      <c r="D159" t="s">
        <v>15</v>
      </c>
      <c r="E159" t="s">
        <v>49</v>
      </c>
      <c r="F159">
        <v>92577</v>
      </c>
      <c r="G159">
        <f>+YEAR(Tabla__192.168.1.8_POSEIDONSQL_APPFVT_01_SQLFacturasRendidas[[#This Row],[f_facturacion]])</f>
        <v>2018</v>
      </c>
      <c r="H15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59">
        <f>+IF(Tabla__192.168.1.8_POSEIDONSQL_APPFVT_01_SQLFacturasRendidas[[#This Row],[epc_nombre]]="RENDIDA",1,0)</f>
        <v>1</v>
      </c>
      <c r="J159">
        <f>+IF(Tabla__192.168.1.8_POSEIDONSQL_APPFVT_01_SQLFacturasRendidas[[#This Row],[usu_codigo]]="","",1)</f>
        <v>1</v>
      </c>
    </row>
    <row r="160" spans="1:10" x14ac:dyDescent="0.25">
      <c r="A160">
        <v>1</v>
      </c>
      <c r="B160">
        <v>3</v>
      </c>
      <c r="C160" t="s">
        <v>81</v>
      </c>
      <c r="D160" t="s">
        <v>15</v>
      </c>
      <c r="E160" t="s">
        <v>49</v>
      </c>
      <c r="F160">
        <v>92578</v>
      </c>
      <c r="G160">
        <f>+YEAR(Tabla__192.168.1.8_POSEIDONSQL_APPFVT_01_SQLFacturasRendidas[[#This Row],[f_facturacion]])</f>
        <v>2018</v>
      </c>
      <c r="H16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60">
        <f>+IF(Tabla__192.168.1.8_POSEIDONSQL_APPFVT_01_SQLFacturasRendidas[[#This Row],[epc_nombre]]="RENDIDA",1,0)</f>
        <v>1</v>
      </c>
      <c r="J160">
        <f>+IF(Tabla__192.168.1.8_POSEIDONSQL_APPFVT_01_SQLFacturasRendidas[[#This Row],[usu_codigo]]="","",1)</f>
        <v>1</v>
      </c>
    </row>
    <row r="161" spans="1:10" x14ac:dyDescent="0.25">
      <c r="A161">
        <v>1</v>
      </c>
      <c r="B161">
        <v>3</v>
      </c>
      <c r="C161" t="s">
        <v>81</v>
      </c>
      <c r="D161" t="s">
        <v>15</v>
      </c>
      <c r="E161" t="s">
        <v>49</v>
      </c>
      <c r="F161">
        <v>92579</v>
      </c>
      <c r="G161">
        <f>+YEAR(Tabla__192.168.1.8_POSEIDONSQL_APPFVT_01_SQLFacturasRendidas[[#This Row],[f_facturacion]])</f>
        <v>2018</v>
      </c>
      <c r="H16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61">
        <f>+IF(Tabla__192.168.1.8_POSEIDONSQL_APPFVT_01_SQLFacturasRendidas[[#This Row],[epc_nombre]]="RENDIDA",1,0)</f>
        <v>1</v>
      </c>
      <c r="J161">
        <f>+IF(Tabla__192.168.1.8_POSEIDONSQL_APPFVT_01_SQLFacturasRendidas[[#This Row],[usu_codigo]]="","",1)</f>
        <v>1</v>
      </c>
    </row>
    <row r="162" spans="1:10" x14ac:dyDescent="0.25">
      <c r="A162">
        <v>1</v>
      </c>
      <c r="B162">
        <v>3</v>
      </c>
      <c r="C162" t="s">
        <v>81</v>
      </c>
      <c r="D162" t="s">
        <v>15</v>
      </c>
      <c r="E162" t="s">
        <v>49</v>
      </c>
      <c r="F162">
        <v>92580</v>
      </c>
      <c r="G162">
        <f>+YEAR(Tabla__192.168.1.8_POSEIDONSQL_APPFVT_01_SQLFacturasRendidas[[#This Row],[f_facturacion]])</f>
        <v>2018</v>
      </c>
      <c r="H16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62">
        <f>+IF(Tabla__192.168.1.8_POSEIDONSQL_APPFVT_01_SQLFacturasRendidas[[#This Row],[epc_nombre]]="RENDIDA",1,0)</f>
        <v>1</v>
      </c>
      <c r="J162">
        <f>+IF(Tabla__192.168.1.8_POSEIDONSQL_APPFVT_01_SQLFacturasRendidas[[#This Row],[usu_codigo]]="","",1)</f>
        <v>1</v>
      </c>
    </row>
    <row r="163" spans="1:10" x14ac:dyDescent="0.25">
      <c r="A163">
        <v>1</v>
      </c>
      <c r="B163">
        <v>3</v>
      </c>
      <c r="C163" t="s">
        <v>81</v>
      </c>
      <c r="D163" t="s">
        <v>15</v>
      </c>
      <c r="E163" t="s">
        <v>49</v>
      </c>
      <c r="F163">
        <v>92581</v>
      </c>
      <c r="G163">
        <f>+YEAR(Tabla__192.168.1.8_POSEIDONSQL_APPFVT_01_SQLFacturasRendidas[[#This Row],[f_facturacion]])</f>
        <v>2018</v>
      </c>
      <c r="H16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63">
        <f>+IF(Tabla__192.168.1.8_POSEIDONSQL_APPFVT_01_SQLFacturasRendidas[[#This Row],[epc_nombre]]="RENDIDA",1,0)</f>
        <v>1</v>
      </c>
      <c r="J163">
        <f>+IF(Tabla__192.168.1.8_POSEIDONSQL_APPFVT_01_SQLFacturasRendidas[[#This Row],[usu_codigo]]="","",1)</f>
        <v>1</v>
      </c>
    </row>
    <row r="164" spans="1:10" x14ac:dyDescent="0.25">
      <c r="A164">
        <v>1</v>
      </c>
      <c r="B164">
        <v>3</v>
      </c>
      <c r="C164" t="s">
        <v>81</v>
      </c>
      <c r="D164" t="s">
        <v>15</v>
      </c>
      <c r="E164" t="s">
        <v>49</v>
      </c>
      <c r="F164">
        <v>92582</v>
      </c>
      <c r="G164">
        <f>+YEAR(Tabla__192.168.1.8_POSEIDONSQL_APPFVT_01_SQLFacturasRendidas[[#This Row],[f_facturacion]])</f>
        <v>2018</v>
      </c>
      <c r="H16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64">
        <f>+IF(Tabla__192.168.1.8_POSEIDONSQL_APPFVT_01_SQLFacturasRendidas[[#This Row],[epc_nombre]]="RENDIDA",1,0)</f>
        <v>1</v>
      </c>
      <c r="J164">
        <f>+IF(Tabla__192.168.1.8_POSEIDONSQL_APPFVT_01_SQLFacturasRendidas[[#This Row],[usu_codigo]]="","",1)</f>
        <v>1</v>
      </c>
    </row>
    <row r="165" spans="1:10" x14ac:dyDescent="0.25">
      <c r="A165">
        <v>1</v>
      </c>
      <c r="B165">
        <v>3</v>
      </c>
      <c r="C165" t="s">
        <v>81</v>
      </c>
      <c r="D165" t="s">
        <v>15</v>
      </c>
      <c r="E165" t="s">
        <v>49</v>
      </c>
      <c r="F165">
        <v>92583</v>
      </c>
      <c r="G165">
        <f>+YEAR(Tabla__192.168.1.8_POSEIDONSQL_APPFVT_01_SQLFacturasRendidas[[#This Row],[f_facturacion]])</f>
        <v>2018</v>
      </c>
      <c r="H16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65">
        <f>+IF(Tabla__192.168.1.8_POSEIDONSQL_APPFVT_01_SQLFacturasRendidas[[#This Row],[epc_nombre]]="RENDIDA",1,0)</f>
        <v>1</v>
      </c>
      <c r="J165">
        <f>+IF(Tabla__192.168.1.8_POSEIDONSQL_APPFVT_01_SQLFacturasRendidas[[#This Row],[usu_codigo]]="","",1)</f>
        <v>1</v>
      </c>
    </row>
    <row r="166" spans="1:10" x14ac:dyDescent="0.25">
      <c r="A166">
        <v>1</v>
      </c>
      <c r="B166">
        <v>3</v>
      </c>
      <c r="C166" t="s">
        <v>81</v>
      </c>
      <c r="D166" t="s">
        <v>15</v>
      </c>
      <c r="E166" t="s">
        <v>49</v>
      </c>
      <c r="F166">
        <v>92584</v>
      </c>
      <c r="G166">
        <f>+YEAR(Tabla__192.168.1.8_POSEIDONSQL_APPFVT_01_SQLFacturasRendidas[[#This Row],[f_facturacion]])</f>
        <v>2018</v>
      </c>
      <c r="H16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66">
        <f>+IF(Tabla__192.168.1.8_POSEIDONSQL_APPFVT_01_SQLFacturasRendidas[[#This Row],[epc_nombre]]="RENDIDA",1,0)</f>
        <v>1</v>
      </c>
      <c r="J166">
        <f>+IF(Tabla__192.168.1.8_POSEIDONSQL_APPFVT_01_SQLFacturasRendidas[[#This Row],[usu_codigo]]="","",1)</f>
        <v>1</v>
      </c>
    </row>
    <row r="167" spans="1:10" x14ac:dyDescent="0.25">
      <c r="A167">
        <v>1</v>
      </c>
      <c r="B167">
        <v>3</v>
      </c>
      <c r="C167" t="s">
        <v>81</v>
      </c>
      <c r="D167" t="s">
        <v>15</v>
      </c>
      <c r="E167" t="s">
        <v>49</v>
      </c>
      <c r="F167">
        <v>92585</v>
      </c>
      <c r="G167">
        <f>+YEAR(Tabla__192.168.1.8_POSEIDONSQL_APPFVT_01_SQLFacturasRendidas[[#This Row],[f_facturacion]])</f>
        <v>2018</v>
      </c>
      <c r="H16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67">
        <f>+IF(Tabla__192.168.1.8_POSEIDONSQL_APPFVT_01_SQLFacturasRendidas[[#This Row],[epc_nombre]]="RENDIDA",1,0)</f>
        <v>1</v>
      </c>
      <c r="J167">
        <f>+IF(Tabla__192.168.1.8_POSEIDONSQL_APPFVT_01_SQLFacturasRendidas[[#This Row],[usu_codigo]]="","",1)</f>
        <v>1</v>
      </c>
    </row>
    <row r="168" spans="1:10" x14ac:dyDescent="0.25">
      <c r="A168">
        <v>1</v>
      </c>
      <c r="B168">
        <v>3</v>
      </c>
      <c r="C168" t="s">
        <v>81</v>
      </c>
      <c r="D168" t="s">
        <v>15</v>
      </c>
      <c r="E168" t="s">
        <v>49</v>
      </c>
      <c r="F168">
        <v>92586</v>
      </c>
      <c r="G168">
        <f>+YEAR(Tabla__192.168.1.8_POSEIDONSQL_APPFVT_01_SQLFacturasRendidas[[#This Row],[f_facturacion]])</f>
        <v>2018</v>
      </c>
      <c r="H16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68">
        <f>+IF(Tabla__192.168.1.8_POSEIDONSQL_APPFVT_01_SQLFacturasRendidas[[#This Row],[epc_nombre]]="RENDIDA",1,0)</f>
        <v>1</v>
      </c>
      <c r="J168">
        <f>+IF(Tabla__192.168.1.8_POSEIDONSQL_APPFVT_01_SQLFacturasRendidas[[#This Row],[usu_codigo]]="","",1)</f>
        <v>1</v>
      </c>
    </row>
    <row r="169" spans="1:10" x14ac:dyDescent="0.25">
      <c r="A169">
        <v>1</v>
      </c>
      <c r="B169">
        <v>3</v>
      </c>
      <c r="C169" t="s">
        <v>81</v>
      </c>
      <c r="D169" t="s">
        <v>15</v>
      </c>
      <c r="E169" t="s">
        <v>49</v>
      </c>
      <c r="F169">
        <v>92587</v>
      </c>
      <c r="G169">
        <f>+YEAR(Tabla__192.168.1.8_POSEIDONSQL_APPFVT_01_SQLFacturasRendidas[[#This Row],[f_facturacion]])</f>
        <v>2018</v>
      </c>
      <c r="H16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69">
        <f>+IF(Tabla__192.168.1.8_POSEIDONSQL_APPFVT_01_SQLFacturasRendidas[[#This Row],[epc_nombre]]="RENDIDA",1,0)</f>
        <v>1</v>
      </c>
      <c r="J169">
        <f>+IF(Tabla__192.168.1.8_POSEIDONSQL_APPFVT_01_SQLFacturasRendidas[[#This Row],[usu_codigo]]="","",1)</f>
        <v>1</v>
      </c>
    </row>
    <row r="170" spans="1:10" x14ac:dyDescent="0.25">
      <c r="A170">
        <v>1</v>
      </c>
      <c r="B170">
        <v>3</v>
      </c>
      <c r="C170" t="s">
        <v>81</v>
      </c>
      <c r="D170" t="s">
        <v>15</v>
      </c>
      <c r="E170" t="s">
        <v>49</v>
      </c>
      <c r="F170">
        <v>92588</v>
      </c>
      <c r="G170">
        <f>+YEAR(Tabla__192.168.1.8_POSEIDONSQL_APPFVT_01_SQLFacturasRendidas[[#This Row],[f_facturacion]])</f>
        <v>2018</v>
      </c>
      <c r="H17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70">
        <f>+IF(Tabla__192.168.1.8_POSEIDONSQL_APPFVT_01_SQLFacturasRendidas[[#This Row],[epc_nombre]]="RENDIDA",1,0)</f>
        <v>1</v>
      </c>
      <c r="J170">
        <f>+IF(Tabla__192.168.1.8_POSEIDONSQL_APPFVT_01_SQLFacturasRendidas[[#This Row],[usu_codigo]]="","",1)</f>
        <v>1</v>
      </c>
    </row>
    <row r="171" spans="1:10" x14ac:dyDescent="0.25">
      <c r="A171">
        <v>1</v>
      </c>
      <c r="B171">
        <v>3</v>
      </c>
      <c r="C171" t="s">
        <v>81</v>
      </c>
      <c r="D171" t="s">
        <v>15</v>
      </c>
      <c r="E171" t="s">
        <v>50</v>
      </c>
      <c r="F171">
        <v>92672</v>
      </c>
      <c r="G171">
        <f>+YEAR(Tabla__192.168.1.8_POSEIDONSQL_APPFVT_01_SQLFacturasRendidas[[#This Row],[f_facturacion]])</f>
        <v>2018</v>
      </c>
      <c r="H17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71">
        <f>+IF(Tabla__192.168.1.8_POSEIDONSQL_APPFVT_01_SQLFacturasRendidas[[#This Row],[epc_nombre]]="RENDIDA",1,0)</f>
        <v>1</v>
      </c>
      <c r="J171">
        <f>+IF(Tabla__192.168.1.8_POSEIDONSQL_APPFVT_01_SQLFacturasRendidas[[#This Row],[usu_codigo]]="","",1)</f>
        <v>1</v>
      </c>
    </row>
    <row r="172" spans="1:10" x14ac:dyDescent="0.25">
      <c r="A172">
        <v>1</v>
      </c>
      <c r="B172">
        <v>3</v>
      </c>
      <c r="C172" t="s">
        <v>81</v>
      </c>
      <c r="D172" t="s">
        <v>15</v>
      </c>
      <c r="E172" t="s">
        <v>50</v>
      </c>
      <c r="F172">
        <v>92673</v>
      </c>
      <c r="G172">
        <f>+YEAR(Tabla__192.168.1.8_POSEIDONSQL_APPFVT_01_SQLFacturasRendidas[[#This Row],[f_facturacion]])</f>
        <v>2018</v>
      </c>
      <c r="H17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72">
        <f>+IF(Tabla__192.168.1.8_POSEIDONSQL_APPFVT_01_SQLFacturasRendidas[[#This Row],[epc_nombre]]="RENDIDA",1,0)</f>
        <v>1</v>
      </c>
      <c r="J172">
        <f>+IF(Tabla__192.168.1.8_POSEIDONSQL_APPFVT_01_SQLFacturasRendidas[[#This Row],[usu_codigo]]="","",1)</f>
        <v>1</v>
      </c>
    </row>
    <row r="173" spans="1:10" x14ac:dyDescent="0.25">
      <c r="A173">
        <v>1</v>
      </c>
      <c r="B173">
        <v>3</v>
      </c>
      <c r="C173" t="s">
        <v>81</v>
      </c>
      <c r="D173" t="s">
        <v>15</v>
      </c>
      <c r="E173" t="s">
        <v>50</v>
      </c>
      <c r="F173">
        <v>92674</v>
      </c>
      <c r="G173">
        <f>+YEAR(Tabla__192.168.1.8_POSEIDONSQL_APPFVT_01_SQLFacturasRendidas[[#This Row],[f_facturacion]])</f>
        <v>2018</v>
      </c>
      <c r="H17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73">
        <f>+IF(Tabla__192.168.1.8_POSEIDONSQL_APPFVT_01_SQLFacturasRendidas[[#This Row],[epc_nombre]]="RENDIDA",1,0)</f>
        <v>1</v>
      </c>
      <c r="J173">
        <f>+IF(Tabla__192.168.1.8_POSEIDONSQL_APPFVT_01_SQLFacturasRendidas[[#This Row],[usu_codigo]]="","",1)</f>
        <v>1</v>
      </c>
    </row>
    <row r="174" spans="1:10" x14ac:dyDescent="0.25">
      <c r="A174">
        <v>1</v>
      </c>
      <c r="B174">
        <v>3</v>
      </c>
      <c r="C174" t="s">
        <v>81</v>
      </c>
      <c r="D174" t="s">
        <v>15</v>
      </c>
      <c r="E174" t="s">
        <v>50</v>
      </c>
      <c r="F174">
        <v>92675</v>
      </c>
      <c r="G174">
        <f>+YEAR(Tabla__192.168.1.8_POSEIDONSQL_APPFVT_01_SQLFacturasRendidas[[#This Row],[f_facturacion]])</f>
        <v>2018</v>
      </c>
      <c r="H17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74">
        <f>+IF(Tabla__192.168.1.8_POSEIDONSQL_APPFVT_01_SQLFacturasRendidas[[#This Row],[epc_nombre]]="RENDIDA",1,0)</f>
        <v>1</v>
      </c>
      <c r="J174">
        <f>+IF(Tabla__192.168.1.8_POSEIDONSQL_APPFVT_01_SQLFacturasRendidas[[#This Row],[usu_codigo]]="","",1)</f>
        <v>1</v>
      </c>
    </row>
    <row r="175" spans="1:10" x14ac:dyDescent="0.25">
      <c r="A175">
        <v>1</v>
      </c>
      <c r="B175">
        <v>3</v>
      </c>
      <c r="C175" t="s">
        <v>81</v>
      </c>
      <c r="D175" t="s">
        <v>15</v>
      </c>
      <c r="E175" t="s">
        <v>50</v>
      </c>
      <c r="F175">
        <v>92676</v>
      </c>
      <c r="G175">
        <f>+YEAR(Tabla__192.168.1.8_POSEIDONSQL_APPFVT_01_SQLFacturasRendidas[[#This Row],[f_facturacion]])</f>
        <v>2018</v>
      </c>
      <c r="H17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75">
        <f>+IF(Tabla__192.168.1.8_POSEIDONSQL_APPFVT_01_SQLFacturasRendidas[[#This Row],[epc_nombre]]="RENDIDA",1,0)</f>
        <v>1</v>
      </c>
      <c r="J175">
        <f>+IF(Tabla__192.168.1.8_POSEIDONSQL_APPFVT_01_SQLFacturasRendidas[[#This Row],[usu_codigo]]="","",1)</f>
        <v>1</v>
      </c>
    </row>
    <row r="176" spans="1:10" x14ac:dyDescent="0.25">
      <c r="A176">
        <v>1</v>
      </c>
      <c r="B176">
        <v>3</v>
      </c>
      <c r="C176" t="s">
        <v>81</v>
      </c>
      <c r="D176" t="s">
        <v>15</v>
      </c>
      <c r="E176" t="s">
        <v>50</v>
      </c>
      <c r="F176">
        <v>92677</v>
      </c>
      <c r="G176">
        <f>+YEAR(Tabla__192.168.1.8_POSEIDONSQL_APPFVT_01_SQLFacturasRendidas[[#This Row],[f_facturacion]])</f>
        <v>2018</v>
      </c>
      <c r="H17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76">
        <f>+IF(Tabla__192.168.1.8_POSEIDONSQL_APPFVT_01_SQLFacturasRendidas[[#This Row],[epc_nombre]]="RENDIDA",1,0)</f>
        <v>1</v>
      </c>
      <c r="J176">
        <f>+IF(Tabla__192.168.1.8_POSEIDONSQL_APPFVT_01_SQLFacturasRendidas[[#This Row],[usu_codigo]]="","",1)</f>
        <v>1</v>
      </c>
    </row>
    <row r="177" spans="1:10" x14ac:dyDescent="0.25">
      <c r="A177">
        <v>1</v>
      </c>
      <c r="B177">
        <v>3</v>
      </c>
      <c r="C177" t="s">
        <v>81</v>
      </c>
      <c r="D177" t="s">
        <v>15</v>
      </c>
      <c r="E177" t="s">
        <v>50</v>
      </c>
      <c r="F177">
        <v>92678</v>
      </c>
      <c r="G177">
        <f>+YEAR(Tabla__192.168.1.8_POSEIDONSQL_APPFVT_01_SQLFacturasRendidas[[#This Row],[f_facturacion]])</f>
        <v>2018</v>
      </c>
      <c r="H17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77">
        <f>+IF(Tabla__192.168.1.8_POSEIDONSQL_APPFVT_01_SQLFacturasRendidas[[#This Row],[epc_nombre]]="RENDIDA",1,0)</f>
        <v>1</v>
      </c>
      <c r="J177">
        <f>+IF(Tabla__192.168.1.8_POSEIDONSQL_APPFVT_01_SQLFacturasRendidas[[#This Row],[usu_codigo]]="","",1)</f>
        <v>1</v>
      </c>
    </row>
    <row r="178" spans="1:10" x14ac:dyDescent="0.25">
      <c r="A178">
        <v>1</v>
      </c>
      <c r="B178">
        <v>3</v>
      </c>
      <c r="C178" t="s">
        <v>81</v>
      </c>
      <c r="D178" t="s">
        <v>23</v>
      </c>
      <c r="E178" t="s">
        <v>50</v>
      </c>
      <c r="F178">
        <v>92679</v>
      </c>
      <c r="G178">
        <f>+YEAR(Tabla__192.168.1.8_POSEIDONSQL_APPFVT_01_SQLFacturasRendidas[[#This Row],[f_facturacion]])</f>
        <v>2018</v>
      </c>
      <c r="H17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78">
        <f>+IF(Tabla__192.168.1.8_POSEIDONSQL_APPFVT_01_SQLFacturasRendidas[[#This Row],[epc_nombre]]="RENDIDA",1,0)</f>
        <v>0</v>
      </c>
      <c r="J178">
        <f>+IF(Tabla__192.168.1.8_POSEIDONSQL_APPFVT_01_SQLFacturasRendidas[[#This Row],[usu_codigo]]="","",1)</f>
        <v>1</v>
      </c>
    </row>
    <row r="179" spans="1:10" x14ac:dyDescent="0.25">
      <c r="A179">
        <v>1</v>
      </c>
      <c r="B179">
        <v>3</v>
      </c>
      <c r="C179" t="s">
        <v>81</v>
      </c>
      <c r="D179" t="s">
        <v>15</v>
      </c>
      <c r="E179" t="s">
        <v>50</v>
      </c>
      <c r="F179">
        <v>92680</v>
      </c>
      <c r="G179">
        <f>+YEAR(Tabla__192.168.1.8_POSEIDONSQL_APPFVT_01_SQLFacturasRendidas[[#This Row],[f_facturacion]])</f>
        <v>2018</v>
      </c>
      <c r="H17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79">
        <f>+IF(Tabla__192.168.1.8_POSEIDONSQL_APPFVT_01_SQLFacturasRendidas[[#This Row],[epc_nombre]]="RENDIDA",1,0)</f>
        <v>1</v>
      </c>
      <c r="J179">
        <f>+IF(Tabla__192.168.1.8_POSEIDONSQL_APPFVT_01_SQLFacturasRendidas[[#This Row],[usu_codigo]]="","",1)</f>
        <v>1</v>
      </c>
    </row>
    <row r="180" spans="1:10" x14ac:dyDescent="0.25">
      <c r="A180">
        <v>1</v>
      </c>
      <c r="B180">
        <v>3</v>
      </c>
      <c r="C180" t="s">
        <v>81</v>
      </c>
      <c r="D180" t="s">
        <v>15</v>
      </c>
      <c r="E180" t="s">
        <v>50</v>
      </c>
      <c r="F180">
        <v>92681</v>
      </c>
      <c r="G180">
        <f>+YEAR(Tabla__192.168.1.8_POSEIDONSQL_APPFVT_01_SQLFacturasRendidas[[#This Row],[f_facturacion]])</f>
        <v>2018</v>
      </c>
      <c r="H18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80">
        <f>+IF(Tabla__192.168.1.8_POSEIDONSQL_APPFVT_01_SQLFacturasRendidas[[#This Row],[epc_nombre]]="RENDIDA",1,0)</f>
        <v>1</v>
      </c>
      <c r="J180">
        <f>+IF(Tabla__192.168.1.8_POSEIDONSQL_APPFVT_01_SQLFacturasRendidas[[#This Row],[usu_codigo]]="","",1)</f>
        <v>1</v>
      </c>
    </row>
    <row r="181" spans="1:10" x14ac:dyDescent="0.25">
      <c r="A181">
        <v>1</v>
      </c>
      <c r="B181">
        <v>3</v>
      </c>
      <c r="C181" t="s">
        <v>81</v>
      </c>
      <c r="D181" t="s">
        <v>15</v>
      </c>
      <c r="E181" t="s">
        <v>50</v>
      </c>
      <c r="F181">
        <v>92682</v>
      </c>
      <c r="G181">
        <f>+YEAR(Tabla__192.168.1.8_POSEIDONSQL_APPFVT_01_SQLFacturasRendidas[[#This Row],[f_facturacion]])</f>
        <v>2018</v>
      </c>
      <c r="H18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81">
        <f>+IF(Tabla__192.168.1.8_POSEIDONSQL_APPFVT_01_SQLFacturasRendidas[[#This Row],[epc_nombre]]="RENDIDA",1,0)</f>
        <v>1</v>
      </c>
      <c r="J181">
        <f>+IF(Tabla__192.168.1.8_POSEIDONSQL_APPFVT_01_SQLFacturasRendidas[[#This Row],[usu_codigo]]="","",1)</f>
        <v>1</v>
      </c>
    </row>
    <row r="182" spans="1:10" x14ac:dyDescent="0.25">
      <c r="A182">
        <v>1</v>
      </c>
      <c r="B182">
        <v>3</v>
      </c>
      <c r="C182" t="s">
        <v>81</v>
      </c>
      <c r="D182" t="s">
        <v>15</v>
      </c>
      <c r="E182" t="s">
        <v>50</v>
      </c>
      <c r="F182">
        <v>92683</v>
      </c>
      <c r="G182">
        <f>+YEAR(Tabla__192.168.1.8_POSEIDONSQL_APPFVT_01_SQLFacturasRendidas[[#This Row],[f_facturacion]])</f>
        <v>2018</v>
      </c>
      <c r="H18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82">
        <f>+IF(Tabla__192.168.1.8_POSEIDONSQL_APPFVT_01_SQLFacturasRendidas[[#This Row],[epc_nombre]]="RENDIDA",1,0)</f>
        <v>1</v>
      </c>
      <c r="J182">
        <f>+IF(Tabla__192.168.1.8_POSEIDONSQL_APPFVT_01_SQLFacturasRendidas[[#This Row],[usu_codigo]]="","",1)</f>
        <v>1</v>
      </c>
    </row>
    <row r="183" spans="1:10" x14ac:dyDescent="0.25">
      <c r="A183">
        <v>1</v>
      </c>
      <c r="B183">
        <v>3</v>
      </c>
      <c r="C183" t="s">
        <v>81</v>
      </c>
      <c r="D183" t="s">
        <v>15</v>
      </c>
      <c r="E183" t="s">
        <v>50</v>
      </c>
      <c r="F183">
        <v>92684</v>
      </c>
      <c r="G183">
        <f>+YEAR(Tabla__192.168.1.8_POSEIDONSQL_APPFVT_01_SQLFacturasRendidas[[#This Row],[f_facturacion]])</f>
        <v>2018</v>
      </c>
      <c r="H18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83">
        <f>+IF(Tabla__192.168.1.8_POSEIDONSQL_APPFVT_01_SQLFacturasRendidas[[#This Row],[epc_nombre]]="RENDIDA",1,0)</f>
        <v>1</v>
      </c>
      <c r="J183">
        <f>+IF(Tabla__192.168.1.8_POSEIDONSQL_APPFVT_01_SQLFacturasRendidas[[#This Row],[usu_codigo]]="","",1)</f>
        <v>1</v>
      </c>
    </row>
    <row r="184" spans="1:10" x14ac:dyDescent="0.25">
      <c r="A184">
        <v>1</v>
      </c>
      <c r="B184">
        <v>3</v>
      </c>
      <c r="C184" t="s">
        <v>81</v>
      </c>
      <c r="D184" t="s">
        <v>15</v>
      </c>
      <c r="E184" t="s">
        <v>50</v>
      </c>
      <c r="F184">
        <v>92685</v>
      </c>
      <c r="G184">
        <f>+YEAR(Tabla__192.168.1.8_POSEIDONSQL_APPFVT_01_SQLFacturasRendidas[[#This Row],[f_facturacion]])</f>
        <v>2018</v>
      </c>
      <c r="H18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84">
        <f>+IF(Tabla__192.168.1.8_POSEIDONSQL_APPFVT_01_SQLFacturasRendidas[[#This Row],[epc_nombre]]="RENDIDA",1,0)</f>
        <v>1</v>
      </c>
      <c r="J184">
        <f>+IF(Tabla__192.168.1.8_POSEIDONSQL_APPFVT_01_SQLFacturasRendidas[[#This Row],[usu_codigo]]="","",1)</f>
        <v>1</v>
      </c>
    </row>
    <row r="185" spans="1:10" x14ac:dyDescent="0.25">
      <c r="A185">
        <v>1</v>
      </c>
      <c r="B185">
        <v>3</v>
      </c>
      <c r="C185" t="s">
        <v>81</v>
      </c>
      <c r="D185" t="s">
        <v>15</v>
      </c>
      <c r="E185" t="s">
        <v>50</v>
      </c>
      <c r="F185">
        <v>92686</v>
      </c>
      <c r="G185">
        <f>+YEAR(Tabla__192.168.1.8_POSEIDONSQL_APPFVT_01_SQLFacturasRendidas[[#This Row],[f_facturacion]])</f>
        <v>2018</v>
      </c>
      <c r="H18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85">
        <f>+IF(Tabla__192.168.1.8_POSEIDONSQL_APPFVT_01_SQLFacturasRendidas[[#This Row],[epc_nombre]]="RENDIDA",1,0)</f>
        <v>1</v>
      </c>
      <c r="J185">
        <f>+IF(Tabla__192.168.1.8_POSEIDONSQL_APPFVT_01_SQLFacturasRendidas[[#This Row],[usu_codigo]]="","",1)</f>
        <v>1</v>
      </c>
    </row>
    <row r="186" spans="1:10" x14ac:dyDescent="0.25">
      <c r="A186">
        <v>1</v>
      </c>
      <c r="B186">
        <v>3</v>
      </c>
      <c r="C186" t="s">
        <v>81</v>
      </c>
      <c r="D186" t="s">
        <v>15</v>
      </c>
      <c r="E186" t="s">
        <v>50</v>
      </c>
      <c r="F186">
        <v>92687</v>
      </c>
      <c r="G186">
        <f>+YEAR(Tabla__192.168.1.8_POSEIDONSQL_APPFVT_01_SQLFacturasRendidas[[#This Row],[f_facturacion]])</f>
        <v>2018</v>
      </c>
      <c r="H18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86">
        <f>+IF(Tabla__192.168.1.8_POSEIDONSQL_APPFVT_01_SQLFacturasRendidas[[#This Row],[epc_nombre]]="RENDIDA",1,0)</f>
        <v>1</v>
      </c>
      <c r="J186">
        <f>+IF(Tabla__192.168.1.8_POSEIDONSQL_APPFVT_01_SQLFacturasRendidas[[#This Row],[usu_codigo]]="","",1)</f>
        <v>1</v>
      </c>
    </row>
    <row r="187" spans="1:10" x14ac:dyDescent="0.25">
      <c r="A187">
        <v>1</v>
      </c>
      <c r="B187">
        <v>3</v>
      </c>
      <c r="C187" t="s">
        <v>81</v>
      </c>
      <c r="D187" t="s">
        <v>15</v>
      </c>
      <c r="E187" t="s">
        <v>50</v>
      </c>
      <c r="F187">
        <v>92688</v>
      </c>
      <c r="G187">
        <f>+YEAR(Tabla__192.168.1.8_POSEIDONSQL_APPFVT_01_SQLFacturasRendidas[[#This Row],[f_facturacion]])</f>
        <v>2018</v>
      </c>
      <c r="H18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87">
        <f>+IF(Tabla__192.168.1.8_POSEIDONSQL_APPFVT_01_SQLFacturasRendidas[[#This Row],[epc_nombre]]="RENDIDA",1,0)</f>
        <v>1</v>
      </c>
      <c r="J187">
        <f>+IF(Tabla__192.168.1.8_POSEIDONSQL_APPFVT_01_SQLFacturasRendidas[[#This Row],[usu_codigo]]="","",1)</f>
        <v>1</v>
      </c>
    </row>
    <row r="188" spans="1:10" x14ac:dyDescent="0.25">
      <c r="A188">
        <v>1</v>
      </c>
      <c r="B188">
        <v>3</v>
      </c>
      <c r="C188" t="s">
        <v>81</v>
      </c>
      <c r="D188" t="s">
        <v>15</v>
      </c>
      <c r="E188" t="s">
        <v>50</v>
      </c>
      <c r="F188">
        <v>92689</v>
      </c>
      <c r="G188">
        <f>+YEAR(Tabla__192.168.1.8_POSEIDONSQL_APPFVT_01_SQLFacturasRendidas[[#This Row],[f_facturacion]])</f>
        <v>2018</v>
      </c>
      <c r="H18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88">
        <f>+IF(Tabla__192.168.1.8_POSEIDONSQL_APPFVT_01_SQLFacturasRendidas[[#This Row],[epc_nombre]]="RENDIDA",1,0)</f>
        <v>1</v>
      </c>
      <c r="J188">
        <f>+IF(Tabla__192.168.1.8_POSEIDONSQL_APPFVT_01_SQLFacturasRendidas[[#This Row],[usu_codigo]]="","",1)</f>
        <v>1</v>
      </c>
    </row>
    <row r="189" spans="1:10" x14ac:dyDescent="0.25">
      <c r="A189">
        <v>1</v>
      </c>
      <c r="B189">
        <v>3</v>
      </c>
      <c r="C189" t="s">
        <v>81</v>
      </c>
      <c r="D189" t="s">
        <v>15</v>
      </c>
      <c r="E189" t="s">
        <v>50</v>
      </c>
      <c r="F189">
        <v>92690</v>
      </c>
      <c r="G189">
        <f>+YEAR(Tabla__192.168.1.8_POSEIDONSQL_APPFVT_01_SQLFacturasRendidas[[#This Row],[f_facturacion]])</f>
        <v>2018</v>
      </c>
      <c r="H18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89">
        <f>+IF(Tabla__192.168.1.8_POSEIDONSQL_APPFVT_01_SQLFacturasRendidas[[#This Row],[epc_nombre]]="RENDIDA",1,0)</f>
        <v>1</v>
      </c>
      <c r="J189">
        <f>+IF(Tabla__192.168.1.8_POSEIDONSQL_APPFVT_01_SQLFacturasRendidas[[#This Row],[usu_codigo]]="","",1)</f>
        <v>1</v>
      </c>
    </row>
    <row r="190" spans="1:10" x14ac:dyDescent="0.25">
      <c r="A190">
        <v>1</v>
      </c>
      <c r="B190">
        <v>3</v>
      </c>
      <c r="C190" t="s">
        <v>81</v>
      </c>
      <c r="D190" t="s">
        <v>15</v>
      </c>
      <c r="E190" t="s">
        <v>50</v>
      </c>
      <c r="F190">
        <v>92691</v>
      </c>
      <c r="G190">
        <f>+YEAR(Tabla__192.168.1.8_POSEIDONSQL_APPFVT_01_SQLFacturasRendidas[[#This Row],[f_facturacion]])</f>
        <v>2018</v>
      </c>
      <c r="H19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90">
        <f>+IF(Tabla__192.168.1.8_POSEIDONSQL_APPFVT_01_SQLFacturasRendidas[[#This Row],[epc_nombre]]="RENDIDA",1,0)</f>
        <v>1</v>
      </c>
      <c r="J190">
        <f>+IF(Tabla__192.168.1.8_POSEIDONSQL_APPFVT_01_SQLFacturasRendidas[[#This Row],[usu_codigo]]="","",1)</f>
        <v>1</v>
      </c>
    </row>
    <row r="191" spans="1:10" x14ac:dyDescent="0.25">
      <c r="A191">
        <v>1</v>
      </c>
      <c r="B191">
        <v>3</v>
      </c>
      <c r="C191" t="s">
        <v>81</v>
      </c>
      <c r="D191" t="s">
        <v>15</v>
      </c>
      <c r="E191" t="s">
        <v>50</v>
      </c>
      <c r="F191">
        <v>92692</v>
      </c>
      <c r="G191">
        <f>+YEAR(Tabla__192.168.1.8_POSEIDONSQL_APPFVT_01_SQLFacturasRendidas[[#This Row],[f_facturacion]])</f>
        <v>2018</v>
      </c>
      <c r="H19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91">
        <f>+IF(Tabla__192.168.1.8_POSEIDONSQL_APPFVT_01_SQLFacturasRendidas[[#This Row],[epc_nombre]]="RENDIDA",1,0)</f>
        <v>1</v>
      </c>
      <c r="J191">
        <f>+IF(Tabla__192.168.1.8_POSEIDONSQL_APPFVT_01_SQLFacturasRendidas[[#This Row],[usu_codigo]]="","",1)</f>
        <v>1</v>
      </c>
    </row>
    <row r="192" spans="1:10" x14ac:dyDescent="0.25">
      <c r="A192">
        <v>1</v>
      </c>
      <c r="B192">
        <v>3</v>
      </c>
      <c r="C192" t="s">
        <v>81</v>
      </c>
      <c r="D192" t="s">
        <v>15</v>
      </c>
      <c r="E192" t="s">
        <v>50</v>
      </c>
      <c r="F192">
        <v>92693</v>
      </c>
      <c r="G192">
        <f>+YEAR(Tabla__192.168.1.8_POSEIDONSQL_APPFVT_01_SQLFacturasRendidas[[#This Row],[f_facturacion]])</f>
        <v>2018</v>
      </c>
      <c r="H19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92">
        <f>+IF(Tabla__192.168.1.8_POSEIDONSQL_APPFVT_01_SQLFacturasRendidas[[#This Row],[epc_nombre]]="RENDIDA",1,0)</f>
        <v>1</v>
      </c>
      <c r="J192">
        <f>+IF(Tabla__192.168.1.8_POSEIDONSQL_APPFVT_01_SQLFacturasRendidas[[#This Row],[usu_codigo]]="","",1)</f>
        <v>1</v>
      </c>
    </row>
    <row r="193" spans="1:10" x14ac:dyDescent="0.25">
      <c r="A193">
        <v>1</v>
      </c>
      <c r="B193">
        <v>3</v>
      </c>
      <c r="C193" t="s">
        <v>81</v>
      </c>
      <c r="D193" t="s">
        <v>15</v>
      </c>
      <c r="E193" t="s">
        <v>50</v>
      </c>
      <c r="F193">
        <v>92694</v>
      </c>
      <c r="G193">
        <f>+YEAR(Tabla__192.168.1.8_POSEIDONSQL_APPFVT_01_SQLFacturasRendidas[[#This Row],[f_facturacion]])</f>
        <v>2018</v>
      </c>
      <c r="H19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93">
        <f>+IF(Tabla__192.168.1.8_POSEIDONSQL_APPFVT_01_SQLFacturasRendidas[[#This Row],[epc_nombre]]="RENDIDA",1,0)</f>
        <v>1</v>
      </c>
      <c r="J193">
        <f>+IF(Tabla__192.168.1.8_POSEIDONSQL_APPFVT_01_SQLFacturasRendidas[[#This Row],[usu_codigo]]="","",1)</f>
        <v>1</v>
      </c>
    </row>
    <row r="194" spans="1:10" x14ac:dyDescent="0.25">
      <c r="A194">
        <v>1</v>
      </c>
      <c r="B194">
        <v>3</v>
      </c>
      <c r="C194" t="s">
        <v>81</v>
      </c>
      <c r="D194" t="s">
        <v>15</v>
      </c>
      <c r="E194" t="s">
        <v>50</v>
      </c>
      <c r="F194">
        <v>92695</v>
      </c>
      <c r="G194">
        <f>+YEAR(Tabla__192.168.1.8_POSEIDONSQL_APPFVT_01_SQLFacturasRendidas[[#This Row],[f_facturacion]])</f>
        <v>2018</v>
      </c>
      <c r="H19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94">
        <f>+IF(Tabla__192.168.1.8_POSEIDONSQL_APPFVT_01_SQLFacturasRendidas[[#This Row],[epc_nombre]]="RENDIDA",1,0)</f>
        <v>1</v>
      </c>
      <c r="J194">
        <f>+IF(Tabla__192.168.1.8_POSEIDONSQL_APPFVT_01_SQLFacturasRendidas[[#This Row],[usu_codigo]]="","",1)</f>
        <v>1</v>
      </c>
    </row>
    <row r="195" spans="1:10" x14ac:dyDescent="0.25">
      <c r="A195">
        <v>1</v>
      </c>
      <c r="B195">
        <v>3</v>
      </c>
      <c r="C195" t="s">
        <v>81</v>
      </c>
      <c r="D195" t="s">
        <v>15</v>
      </c>
      <c r="E195" t="s">
        <v>50</v>
      </c>
      <c r="F195">
        <v>92696</v>
      </c>
      <c r="G195">
        <f>+YEAR(Tabla__192.168.1.8_POSEIDONSQL_APPFVT_01_SQLFacturasRendidas[[#This Row],[f_facturacion]])</f>
        <v>2018</v>
      </c>
      <c r="H19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95">
        <f>+IF(Tabla__192.168.1.8_POSEIDONSQL_APPFVT_01_SQLFacturasRendidas[[#This Row],[epc_nombre]]="RENDIDA",1,0)</f>
        <v>1</v>
      </c>
      <c r="J195">
        <f>+IF(Tabla__192.168.1.8_POSEIDONSQL_APPFVT_01_SQLFacturasRendidas[[#This Row],[usu_codigo]]="","",1)</f>
        <v>1</v>
      </c>
    </row>
    <row r="196" spans="1:10" x14ac:dyDescent="0.25">
      <c r="A196">
        <v>1</v>
      </c>
      <c r="B196">
        <v>3</v>
      </c>
      <c r="C196" t="s">
        <v>81</v>
      </c>
      <c r="D196" t="s">
        <v>15</v>
      </c>
      <c r="E196" t="s">
        <v>50</v>
      </c>
      <c r="F196">
        <v>92697</v>
      </c>
      <c r="G196">
        <f>+YEAR(Tabla__192.168.1.8_POSEIDONSQL_APPFVT_01_SQLFacturasRendidas[[#This Row],[f_facturacion]])</f>
        <v>2018</v>
      </c>
      <c r="H19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96">
        <f>+IF(Tabla__192.168.1.8_POSEIDONSQL_APPFVT_01_SQLFacturasRendidas[[#This Row],[epc_nombre]]="RENDIDA",1,0)</f>
        <v>1</v>
      </c>
      <c r="J196">
        <f>+IF(Tabla__192.168.1.8_POSEIDONSQL_APPFVT_01_SQLFacturasRendidas[[#This Row],[usu_codigo]]="","",1)</f>
        <v>1</v>
      </c>
    </row>
    <row r="197" spans="1:10" x14ac:dyDescent="0.25">
      <c r="A197">
        <v>1</v>
      </c>
      <c r="B197">
        <v>3</v>
      </c>
      <c r="C197" t="s">
        <v>81</v>
      </c>
      <c r="D197" t="s">
        <v>15</v>
      </c>
      <c r="E197" t="s">
        <v>68</v>
      </c>
      <c r="F197">
        <v>92949</v>
      </c>
      <c r="G197">
        <f>+YEAR(Tabla__192.168.1.8_POSEIDONSQL_APPFVT_01_SQLFacturasRendidas[[#This Row],[f_facturacion]])</f>
        <v>2018</v>
      </c>
      <c r="H19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97">
        <f>+IF(Tabla__192.168.1.8_POSEIDONSQL_APPFVT_01_SQLFacturasRendidas[[#This Row],[epc_nombre]]="RENDIDA",1,0)</f>
        <v>1</v>
      </c>
      <c r="J197">
        <f>+IF(Tabla__192.168.1.8_POSEIDONSQL_APPFVT_01_SQLFacturasRendidas[[#This Row],[usu_codigo]]="","",1)</f>
        <v>1</v>
      </c>
    </row>
    <row r="198" spans="1:10" x14ac:dyDescent="0.25">
      <c r="A198">
        <v>1</v>
      </c>
      <c r="B198">
        <v>3</v>
      </c>
      <c r="C198" t="s">
        <v>81</v>
      </c>
      <c r="D198" t="s">
        <v>15</v>
      </c>
      <c r="E198" t="s">
        <v>68</v>
      </c>
      <c r="F198">
        <v>92950</v>
      </c>
      <c r="G198">
        <f>+YEAR(Tabla__192.168.1.8_POSEIDONSQL_APPFVT_01_SQLFacturasRendidas[[#This Row],[f_facturacion]])</f>
        <v>2018</v>
      </c>
      <c r="H19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98">
        <f>+IF(Tabla__192.168.1.8_POSEIDONSQL_APPFVT_01_SQLFacturasRendidas[[#This Row],[epc_nombre]]="RENDIDA",1,0)</f>
        <v>1</v>
      </c>
      <c r="J198">
        <f>+IF(Tabla__192.168.1.8_POSEIDONSQL_APPFVT_01_SQLFacturasRendidas[[#This Row],[usu_codigo]]="","",1)</f>
        <v>1</v>
      </c>
    </row>
    <row r="199" spans="1:10" x14ac:dyDescent="0.25">
      <c r="A199">
        <v>1</v>
      </c>
      <c r="B199">
        <v>3</v>
      </c>
      <c r="C199" t="s">
        <v>81</v>
      </c>
      <c r="D199" t="s">
        <v>15</v>
      </c>
      <c r="E199" t="s">
        <v>68</v>
      </c>
      <c r="F199">
        <v>92951</v>
      </c>
      <c r="G199">
        <f>+YEAR(Tabla__192.168.1.8_POSEIDONSQL_APPFVT_01_SQLFacturasRendidas[[#This Row],[f_facturacion]])</f>
        <v>2018</v>
      </c>
      <c r="H19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99">
        <f>+IF(Tabla__192.168.1.8_POSEIDONSQL_APPFVT_01_SQLFacturasRendidas[[#This Row],[epc_nombre]]="RENDIDA",1,0)</f>
        <v>1</v>
      </c>
      <c r="J199">
        <f>+IF(Tabla__192.168.1.8_POSEIDONSQL_APPFVT_01_SQLFacturasRendidas[[#This Row],[usu_codigo]]="","",1)</f>
        <v>1</v>
      </c>
    </row>
    <row r="200" spans="1:10" x14ac:dyDescent="0.25">
      <c r="A200">
        <v>1</v>
      </c>
      <c r="B200">
        <v>3</v>
      </c>
      <c r="C200" t="s">
        <v>81</v>
      </c>
      <c r="D200" t="s">
        <v>15</v>
      </c>
      <c r="E200" t="s">
        <v>68</v>
      </c>
      <c r="F200">
        <v>92952</v>
      </c>
      <c r="G200">
        <f>+YEAR(Tabla__192.168.1.8_POSEIDONSQL_APPFVT_01_SQLFacturasRendidas[[#This Row],[f_facturacion]])</f>
        <v>2018</v>
      </c>
      <c r="H20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200">
        <f>+IF(Tabla__192.168.1.8_POSEIDONSQL_APPFVT_01_SQLFacturasRendidas[[#This Row],[epc_nombre]]="RENDIDA",1,0)</f>
        <v>1</v>
      </c>
      <c r="J200">
        <f>+IF(Tabla__192.168.1.8_POSEIDONSQL_APPFVT_01_SQLFacturasRendidas[[#This Row],[usu_codigo]]="","",1)</f>
        <v>1</v>
      </c>
    </row>
    <row r="201" spans="1:10" x14ac:dyDescent="0.25">
      <c r="A201">
        <v>1</v>
      </c>
      <c r="B201">
        <v>3</v>
      </c>
      <c r="C201" t="s">
        <v>81</v>
      </c>
      <c r="D201" t="s">
        <v>15</v>
      </c>
      <c r="E201" t="s">
        <v>68</v>
      </c>
      <c r="F201">
        <v>92953</v>
      </c>
      <c r="G201">
        <f>+YEAR(Tabla__192.168.1.8_POSEIDONSQL_APPFVT_01_SQLFacturasRendidas[[#This Row],[f_facturacion]])</f>
        <v>2018</v>
      </c>
      <c r="H20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201">
        <f>+IF(Tabla__192.168.1.8_POSEIDONSQL_APPFVT_01_SQLFacturasRendidas[[#This Row],[epc_nombre]]="RENDIDA",1,0)</f>
        <v>1</v>
      </c>
      <c r="J201">
        <f>+IF(Tabla__192.168.1.8_POSEIDONSQL_APPFVT_01_SQLFacturasRendidas[[#This Row],[usu_codigo]]="","",1)</f>
        <v>1</v>
      </c>
    </row>
    <row r="202" spans="1:10" x14ac:dyDescent="0.25">
      <c r="A202">
        <v>1</v>
      </c>
      <c r="B202">
        <v>3</v>
      </c>
      <c r="C202" t="s">
        <v>81</v>
      </c>
      <c r="D202" t="s">
        <v>15</v>
      </c>
      <c r="E202" t="s">
        <v>68</v>
      </c>
      <c r="F202">
        <v>92954</v>
      </c>
      <c r="G202">
        <f>+YEAR(Tabla__192.168.1.8_POSEIDONSQL_APPFVT_01_SQLFacturasRendidas[[#This Row],[f_facturacion]])</f>
        <v>2018</v>
      </c>
      <c r="H20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202">
        <f>+IF(Tabla__192.168.1.8_POSEIDONSQL_APPFVT_01_SQLFacturasRendidas[[#This Row],[epc_nombre]]="RENDIDA",1,0)</f>
        <v>1</v>
      </c>
      <c r="J202">
        <f>+IF(Tabla__192.168.1.8_POSEIDONSQL_APPFVT_01_SQLFacturasRendidas[[#This Row],[usu_codigo]]="","",1)</f>
        <v>1</v>
      </c>
    </row>
    <row r="203" spans="1:10" x14ac:dyDescent="0.25">
      <c r="A203">
        <v>1</v>
      </c>
      <c r="B203">
        <v>3</v>
      </c>
      <c r="C203" t="s">
        <v>81</v>
      </c>
      <c r="D203" t="s">
        <v>15</v>
      </c>
      <c r="E203" t="s">
        <v>53</v>
      </c>
      <c r="F203">
        <v>93033</v>
      </c>
      <c r="G203">
        <f>+YEAR(Tabla__192.168.1.8_POSEIDONSQL_APPFVT_01_SQLFacturasRendidas[[#This Row],[f_facturacion]])</f>
        <v>2018</v>
      </c>
      <c r="H20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203">
        <f>+IF(Tabla__192.168.1.8_POSEIDONSQL_APPFVT_01_SQLFacturasRendidas[[#This Row],[epc_nombre]]="RENDIDA",1,0)</f>
        <v>1</v>
      </c>
      <c r="J203">
        <f>+IF(Tabla__192.168.1.8_POSEIDONSQL_APPFVT_01_SQLFacturasRendidas[[#This Row],[usu_codigo]]="","",1)</f>
        <v>1</v>
      </c>
    </row>
    <row r="204" spans="1:10" x14ac:dyDescent="0.25">
      <c r="A204">
        <v>1</v>
      </c>
      <c r="B204">
        <v>3</v>
      </c>
      <c r="C204" t="s">
        <v>81</v>
      </c>
      <c r="D204" t="s">
        <v>15</v>
      </c>
      <c r="E204" t="s">
        <v>53</v>
      </c>
      <c r="F204">
        <v>93034</v>
      </c>
      <c r="G204">
        <f>+YEAR(Tabla__192.168.1.8_POSEIDONSQL_APPFVT_01_SQLFacturasRendidas[[#This Row],[f_facturacion]])</f>
        <v>2018</v>
      </c>
      <c r="H20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204">
        <f>+IF(Tabla__192.168.1.8_POSEIDONSQL_APPFVT_01_SQLFacturasRendidas[[#This Row],[epc_nombre]]="RENDIDA",1,0)</f>
        <v>1</v>
      </c>
      <c r="J204">
        <f>+IF(Tabla__192.168.1.8_POSEIDONSQL_APPFVT_01_SQLFacturasRendidas[[#This Row],[usu_codigo]]="","",1)</f>
        <v>1</v>
      </c>
    </row>
    <row r="205" spans="1:10" x14ac:dyDescent="0.25">
      <c r="A205">
        <v>1</v>
      </c>
      <c r="B205">
        <v>3</v>
      </c>
      <c r="C205" t="s">
        <v>81</v>
      </c>
      <c r="D205" t="s">
        <v>15</v>
      </c>
      <c r="E205" t="s">
        <v>53</v>
      </c>
      <c r="F205">
        <v>93035</v>
      </c>
      <c r="G205">
        <f>+YEAR(Tabla__192.168.1.8_POSEIDONSQL_APPFVT_01_SQLFacturasRendidas[[#This Row],[f_facturacion]])</f>
        <v>2018</v>
      </c>
      <c r="H20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205">
        <f>+IF(Tabla__192.168.1.8_POSEIDONSQL_APPFVT_01_SQLFacturasRendidas[[#This Row],[epc_nombre]]="RENDIDA",1,0)</f>
        <v>1</v>
      </c>
      <c r="J205">
        <f>+IF(Tabla__192.168.1.8_POSEIDONSQL_APPFVT_01_SQLFacturasRendidas[[#This Row],[usu_codigo]]="","",1)</f>
        <v>1</v>
      </c>
    </row>
    <row r="206" spans="1:10" x14ac:dyDescent="0.25">
      <c r="A206">
        <v>1</v>
      </c>
      <c r="B206">
        <v>3</v>
      </c>
      <c r="C206" t="s">
        <v>81</v>
      </c>
      <c r="D206" t="s">
        <v>15</v>
      </c>
      <c r="E206" t="s">
        <v>53</v>
      </c>
      <c r="F206">
        <v>93036</v>
      </c>
      <c r="G206">
        <f>+YEAR(Tabla__192.168.1.8_POSEIDONSQL_APPFVT_01_SQLFacturasRendidas[[#This Row],[f_facturacion]])</f>
        <v>2018</v>
      </c>
      <c r="H20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206">
        <f>+IF(Tabla__192.168.1.8_POSEIDONSQL_APPFVT_01_SQLFacturasRendidas[[#This Row],[epc_nombre]]="RENDIDA",1,0)</f>
        <v>1</v>
      </c>
      <c r="J206">
        <f>+IF(Tabla__192.168.1.8_POSEIDONSQL_APPFVT_01_SQLFacturasRendidas[[#This Row],[usu_codigo]]="","",1)</f>
        <v>1</v>
      </c>
    </row>
    <row r="207" spans="1:10" x14ac:dyDescent="0.25">
      <c r="A207">
        <v>1</v>
      </c>
      <c r="B207">
        <v>3</v>
      </c>
      <c r="C207" t="s">
        <v>81</v>
      </c>
      <c r="D207" t="s">
        <v>15</v>
      </c>
      <c r="E207" t="s">
        <v>53</v>
      </c>
      <c r="F207">
        <v>93037</v>
      </c>
      <c r="G207">
        <f>+YEAR(Tabla__192.168.1.8_POSEIDONSQL_APPFVT_01_SQLFacturasRendidas[[#This Row],[f_facturacion]])</f>
        <v>2018</v>
      </c>
      <c r="H20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207">
        <f>+IF(Tabla__192.168.1.8_POSEIDONSQL_APPFVT_01_SQLFacturasRendidas[[#This Row],[epc_nombre]]="RENDIDA",1,0)</f>
        <v>1</v>
      </c>
      <c r="J207">
        <f>+IF(Tabla__192.168.1.8_POSEIDONSQL_APPFVT_01_SQLFacturasRendidas[[#This Row],[usu_codigo]]="","",1)</f>
        <v>1</v>
      </c>
    </row>
    <row r="208" spans="1:10" x14ac:dyDescent="0.25">
      <c r="A208">
        <v>1</v>
      </c>
      <c r="B208">
        <v>3</v>
      </c>
      <c r="C208" t="s">
        <v>81</v>
      </c>
      <c r="D208" t="s">
        <v>15</v>
      </c>
      <c r="E208" t="s">
        <v>53</v>
      </c>
      <c r="F208">
        <v>93038</v>
      </c>
      <c r="G208">
        <f>+YEAR(Tabla__192.168.1.8_POSEIDONSQL_APPFVT_01_SQLFacturasRendidas[[#This Row],[f_facturacion]])</f>
        <v>2018</v>
      </c>
      <c r="H20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208">
        <f>+IF(Tabla__192.168.1.8_POSEIDONSQL_APPFVT_01_SQLFacturasRendidas[[#This Row],[epc_nombre]]="RENDIDA",1,0)</f>
        <v>1</v>
      </c>
      <c r="J208">
        <f>+IF(Tabla__192.168.1.8_POSEIDONSQL_APPFVT_01_SQLFacturasRendidas[[#This Row],[usu_codigo]]="","",1)</f>
        <v>1</v>
      </c>
    </row>
    <row r="209" spans="1:10" x14ac:dyDescent="0.25">
      <c r="A209">
        <v>1</v>
      </c>
      <c r="B209">
        <v>3</v>
      </c>
      <c r="C209" t="s">
        <v>81</v>
      </c>
      <c r="D209" t="s">
        <v>15</v>
      </c>
      <c r="E209" t="s">
        <v>53</v>
      </c>
      <c r="F209">
        <v>93039</v>
      </c>
      <c r="G209">
        <f>+YEAR(Tabla__192.168.1.8_POSEIDONSQL_APPFVT_01_SQLFacturasRendidas[[#This Row],[f_facturacion]])</f>
        <v>2018</v>
      </c>
      <c r="H20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209">
        <f>+IF(Tabla__192.168.1.8_POSEIDONSQL_APPFVT_01_SQLFacturasRendidas[[#This Row],[epc_nombre]]="RENDIDA",1,0)</f>
        <v>1</v>
      </c>
      <c r="J209">
        <f>+IF(Tabla__192.168.1.8_POSEIDONSQL_APPFVT_01_SQLFacturasRendidas[[#This Row],[usu_codigo]]="","",1)</f>
        <v>1</v>
      </c>
    </row>
    <row r="210" spans="1:10" x14ac:dyDescent="0.25">
      <c r="A210">
        <v>1</v>
      </c>
      <c r="B210">
        <v>3</v>
      </c>
      <c r="C210" t="s">
        <v>81</v>
      </c>
      <c r="D210" t="s">
        <v>15</v>
      </c>
      <c r="E210" t="s">
        <v>53</v>
      </c>
      <c r="F210">
        <v>93040</v>
      </c>
      <c r="G210">
        <f>+YEAR(Tabla__192.168.1.8_POSEIDONSQL_APPFVT_01_SQLFacturasRendidas[[#This Row],[f_facturacion]])</f>
        <v>2018</v>
      </c>
      <c r="H21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210">
        <f>+IF(Tabla__192.168.1.8_POSEIDONSQL_APPFVT_01_SQLFacturasRendidas[[#This Row],[epc_nombre]]="RENDIDA",1,0)</f>
        <v>1</v>
      </c>
      <c r="J210">
        <f>+IF(Tabla__192.168.1.8_POSEIDONSQL_APPFVT_01_SQLFacturasRendidas[[#This Row],[usu_codigo]]="","",1)</f>
        <v>1</v>
      </c>
    </row>
    <row r="211" spans="1:10" x14ac:dyDescent="0.25">
      <c r="A211">
        <v>1</v>
      </c>
      <c r="B211">
        <v>3</v>
      </c>
      <c r="C211" t="s">
        <v>81</v>
      </c>
      <c r="D211" t="s">
        <v>15</v>
      </c>
      <c r="E211" t="s">
        <v>53</v>
      </c>
      <c r="F211">
        <v>93041</v>
      </c>
      <c r="G211">
        <f>+YEAR(Tabla__192.168.1.8_POSEIDONSQL_APPFVT_01_SQLFacturasRendidas[[#This Row],[f_facturacion]])</f>
        <v>2018</v>
      </c>
      <c r="H21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211">
        <f>+IF(Tabla__192.168.1.8_POSEIDONSQL_APPFVT_01_SQLFacturasRendidas[[#This Row],[epc_nombre]]="RENDIDA",1,0)</f>
        <v>1</v>
      </c>
      <c r="J211">
        <f>+IF(Tabla__192.168.1.8_POSEIDONSQL_APPFVT_01_SQLFacturasRendidas[[#This Row],[usu_codigo]]="","",1)</f>
        <v>1</v>
      </c>
    </row>
    <row r="212" spans="1:10" x14ac:dyDescent="0.25">
      <c r="A212">
        <v>1</v>
      </c>
      <c r="B212">
        <v>3</v>
      </c>
      <c r="C212" t="s">
        <v>81</v>
      </c>
      <c r="D212" t="s">
        <v>15</v>
      </c>
      <c r="E212" t="s">
        <v>53</v>
      </c>
      <c r="F212">
        <v>93042</v>
      </c>
      <c r="G212">
        <f>+YEAR(Tabla__192.168.1.8_POSEIDONSQL_APPFVT_01_SQLFacturasRendidas[[#This Row],[f_facturacion]])</f>
        <v>2018</v>
      </c>
      <c r="H21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212">
        <f>+IF(Tabla__192.168.1.8_POSEIDONSQL_APPFVT_01_SQLFacturasRendidas[[#This Row],[epc_nombre]]="RENDIDA",1,0)</f>
        <v>1</v>
      </c>
      <c r="J212">
        <f>+IF(Tabla__192.168.1.8_POSEIDONSQL_APPFVT_01_SQLFacturasRendidas[[#This Row],[usu_codigo]]="","",1)</f>
        <v>1</v>
      </c>
    </row>
    <row r="213" spans="1:10" x14ac:dyDescent="0.25">
      <c r="A213">
        <v>1</v>
      </c>
      <c r="B213">
        <v>3</v>
      </c>
      <c r="C213" t="s">
        <v>81</v>
      </c>
      <c r="D213" t="s">
        <v>15</v>
      </c>
      <c r="E213" t="s">
        <v>53</v>
      </c>
      <c r="F213">
        <v>93043</v>
      </c>
      <c r="G213">
        <f>+YEAR(Tabla__192.168.1.8_POSEIDONSQL_APPFVT_01_SQLFacturasRendidas[[#This Row],[f_facturacion]])</f>
        <v>2018</v>
      </c>
      <c r="H21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213">
        <f>+IF(Tabla__192.168.1.8_POSEIDONSQL_APPFVT_01_SQLFacturasRendidas[[#This Row],[epc_nombre]]="RENDIDA",1,0)</f>
        <v>1</v>
      </c>
      <c r="J213">
        <f>+IF(Tabla__192.168.1.8_POSEIDONSQL_APPFVT_01_SQLFacturasRendidas[[#This Row],[usu_codigo]]="","",1)</f>
        <v>1</v>
      </c>
    </row>
    <row r="214" spans="1:10" x14ac:dyDescent="0.25">
      <c r="A214">
        <v>1</v>
      </c>
      <c r="B214">
        <v>3</v>
      </c>
      <c r="C214" t="s">
        <v>81</v>
      </c>
      <c r="D214" t="s">
        <v>15</v>
      </c>
      <c r="E214" t="s">
        <v>53</v>
      </c>
      <c r="F214">
        <v>93044</v>
      </c>
      <c r="G214">
        <f>+YEAR(Tabla__192.168.1.8_POSEIDONSQL_APPFVT_01_SQLFacturasRendidas[[#This Row],[f_facturacion]])</f>
        <v>2018</v>
      </c>
      <c r="H21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214">
        <f>+IF(Tabla__192.168.1.8_POSEIDONSQL_APPFVT_01_SQLFacturasRendidas[[#This Row],[epc_nombre]]="RENDIDA",1,0)</f>
        <v>1</v>
      </c>
      <c r="J214">
        <f>+IF(Tabla__192.168.1.8_POSEIDONSQL_APPFVT_01_SQLFacturasRendidas[[#This Row],[usu_codigo]]="","",1)</f>
        <v>1</v>
      </c>
    </row>
    <row r="215" spans="1:10" x14ac:dyDescent="0.25">
      <c r="A215">
        <v>1</v>
      </c>
      <c r="B215">
        <v>3</v>
      </c>
      <c r="C215" t="s">
        <v>81</v>
      </c>
      <c r="D215" t="s">
        <v>15</v>
      </c>
      <c r="E215" t="s">
        <v>53</v>
      </c>
      <c r="F215">
        <v>93045</v>
      </c>
      <c r="G215">
        <f>+YEAR(Tabla__192.168.1.8_POSEIDONSQL_APPFVT_01_SQLFacturasRendidas[[#This Row],[f_facturacion]])</f>
        <v>2018</v>
      </c>
      <c r="H21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215">
        <f>+IF(Tabla__192.168.1.8_POSEIDONSQL_APPFVT_01_SQLFacturasRendidas[[#This Row],[epc_nombre]]="RENDIDA",1,0)</f>
        <v>1</v>
      </c>
      <c r="J215">
        <f>+IF(Tabla__192.168.1.8_POSEIDONSQL_APPFVT_01_SQLFacturasRendidas[[#This Row],[usu_codigo]]="","",1)</f>
        <v>1</v>
      </c>
    </row>
    <row r="216" spans="1:10" x14ac:dyDescent="0.25">
      <c r="A216">
        <v>1</v>
      </c>
      <c r="B216">
        <v>3</v>
      </c>
      <c r="C216" t="s">
        <v>81</v>
      </c>
      <c r="D216" t="s">
        <v>15</v>
      </c>
      <c r="E216" t="s">
        <v>53</v>
      </c>
      <c r="F216">
        <v>93046</v>
      </c>
      <c r="G216">
        <f>+YEAR(Tabla__192.168.1.8_POSEIDONSQL_APPFVT_01_SQLFacturasRendidas[[#This Row],[f_facturacion]])</f>
        <v>2018</v>
      </c>
      <c r="H21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216">
        <f>+IF(Tabla__192.168.1.8_POSEIDONSQL_APPFVT_01_SQLFacturasRendidas[[#This Row],[epc_nombre]]="RENDIDA",1,0)</f>
        <v>1</v>
      </c>
      <c r="J216">
        <f>+IF(Tabla__192.168.1.8_POSEIDONSQL_APPFVT_01_SQLFacturasRendidas[[#This Row],[usu_codigo]]="","",1)</f>
        <v>1</v>
      </c>
    </row>
    <row r="217" spans="1:10" x14ac:dyDescent="0.25">
      <c r="A217">
        <v>1</v>
      </c>
      <c r="B217">
        <v>3</v>
      </c>
      <c r="C217" t="s">
        <v>81</v>
      </c>
      <c r="D217" t="s">
        <v>15</v>
      </c>
      <c r="E217" t="s">
        <v>53</v>
      </c>
      <c r="F217">
        <v>93047</v>
      </c>
      <c r="G217">
        <f>+YEAR(Tabla__192.168.1.8_POSEIDONSQL_APPFVT_01_SQLFacturasRendidas[[#This Row],[f_facturacion]])</f>
        <v>2018</v>
      </c>
      <c r="H21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217">
        <f>+IF(Tabla__192.168.1.8_POSEIDONSQL_APPFVT_01_SQLFacturasRendidas[[#This Row],[epc_nombre]]="RENDIDA",1,0)</f>
        <v>1</v>
      </c>
      <c r="J217">
        <f>+IF(Tabla__192.168.1.8_POSEIDONSQL_APPFVT_01_SQLFacturasRendidas[[#This Row],[usu_codigo]]="","",1)</f>
        <v>1</v>
      </c>
    </row>
    <row r="218" spans="1:10" x14ac:dyDescent="0.25">
      <c r="A218">
        <v>1</v>
      </c>
      <c r="B218">
        <v>3</v>
      </c>
      <c r="C218" t="s">
        <v>81</v>
      </c>
      <c r="D218" t="s">
        <v>15</v>
      </c>
      <c r="E218" t="s">
        <v>53</v>
      </c>
      <c r="F218">
        <v>93048</v>
      </c>
      <c r="G218">
        <f>+YEAR(Tabla__192.168.1.8_POSEIDONSQL_APPFVT_01_SQLFacturasRendidas[[#This Row],[f_facturacion]])</f>
        <v>2018</v>
      </c>
      <c r="H21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218">
        <f>+IF(Tabla__192.168.1.8_POSEIDONSQL_APPFVT_01_SQLFacturasRendidas[[#This Row],[epc_nombre]]="RENDIDA",1,0)</f>
        <v>1</v>
      </c>
      <c r="J218">
        <f>+IF(Tabla__192.168.1.8_POSEIDONSQL_APPFVT_01_SQLFacturasRendidas[[#This Row],[usu_codigo]]="","",1)</f>
        <v>1</v>
      </c>
    </row>
    <row r="219" spans="1:10" x14ac:dyDescent="0.25">
      <c r="A219">
        <v>1</v>
      </c>
      <c r="B219">
        <v>3</v>
      </c>
      <c r="C219" t="s">
        <v>81</v>
      </c>
      <c r="D219" t="s">
        <v>15</v>
      </c>
      <c r="E219" t="s">
        <v>54</v>
      </c>
      <c r="F219">
        <v>93141</v>
      </c>
      <c r="G219">
        <f>+YEAR(Tabla__192.168.1.8_POSEIDONSQL_APPFVT_01_SQLFacturasRendidas[[#This Row],[f_facturacion]])</f>
        <v>2018</v>
      </c>
      <c r="H21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219">
        <f>+IF(Tabla__192.168.1.8_POSEIDONSQL_APPFVT_01_SQLFacturasRendidas[[#This Row],[epc_nombre]]="RENDIDA",1,0)</f>
        <v>1</v>
      </c>
      <c r="J219">
        <f>+IF(Tabla__192.168.1.8_POSEIDONSQL_APPFVT_01_SQLFacturasRendidas[[#This Row],[usu_codigo]]="","",1)</f>
        <v>1</v>
      </c>
    </row>
    <row r="220" spans="1:10" x14ac:dyDescent="0.25">
      <c r="A220">
        <v>1</v>
      </c>
      <c r="B220">
        <v>3</v>
      </c>
      <c r="C220" t="s">
        <v>81</v>
      </c>
      <c r="D220" t="s">
        <v>15</v>
      </c>
      <c r="E220" t="s">
        <v>54</v>
      </c>
      <c r="F220">
        <v>93142</v>
      </c>
      <c r="G220">
        <f>+YEAR(Tabla__192.168.1.8_POSEIDONSQL_APPFVT_01_SQLFacturasRendidas[[#This Row],[f_facturacion]])</f>
        <v>2018</v>
      </c>
      <c r="H22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220">
        <f>+IF(Tabla__192.168.1.8_POSEIDONSQL_APPFVT_01_SQLFacturasRendidas[[#This Row],[epc_nombre]]="RENDIDA",1,0)</f>
        <v>1</v>
      </c>
      <c r="J220">
        <f>+IF(Tabla__192.168.1.8_POSEIDONSQL_APPFVT_01_SQLFacturasRendidas[[#This Row],[usu_codigo]]="","",1)</f>
        <v>1</v>
      </c>
    </row>
    <row r="221" spans="1:10" x14ac:dyDescent="0.25">
      <c r="A221">
        <v>1</v>
      </c>
      <c r="B221">
        <v>3</v>
      </c>
      <c r="C221" t="s">
        <v>81</v>
      </c>
      <c r="D221" t="s">
        <v>15</v>
      </c>
      <c r="E221" t="s">
        <v>54</v>
      </c>
      <c r="F221">
        <v>93143</v>
      </c>
      <c r="G221">
        <f>+YEAR(Tabla__192.168.1.8_POSEIDONSQL_APPFVT_01_SQLFacturasRendidas[[#This Row],[f_facturacion]])</f>
        <v>2018</v>
      </c>
      <c r="H22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221">
        <f>+IF(Tabla__192.168.1.8_POSEIDONSQL_APPFVT_01_SQLFacturasRendidas[[#This Row],[epc_nombre]]="RENDIDA",1,0)</f>
        <v>1</v>
      </c>
      <c r="J221">
        <f>+IF(Tabla__192.168.1.8_POSEIDONSQL_APPFVT_01_SQLFacturasRendidas[[#This Row],[usu_codigo]]="","",1)</f>
        <v>1</v>
      </c>
    </row>
    <row r="222" spans="1:10" x14ac:dyDescent="0.25">
      <c r="A222">
        <v>1</v>
      </c>
      <c r="B222">
        <v>3</v>
      </c>
      <c r="C222" t="s">
        <v>81</v>
      </c>
      <c r="D222" t="s">
        <v>15</v>
      </c>
      <c r="E222" t="s">
        <v>54</v>
      </c>
      <c r="F222">
        <v>93144</v>
      </c>
      <c r="G222">
        <f>+YEAR(Tabla__192.168.1.8_POSEIDONSQL_APPFVT_01_SQLFacturasRendidas[[#This Row],[f_facturacion]])</f>
        <v>2018</v>
      </c>
      <c r="H22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222">
        <f>+IF(Tabla__192.168.1.8_POSEIDONSQL_APPFVT_01_SQLFacturasRendidas[[#This Row],[epc_nombre]]="RENDIDA",1,0)</f>
        <v>1</v>
      </c>
      <c r="J222">
        <f>+IF(Tabla__192.168.1.8_POSEIDONSQL_APPFVT_01_SQLFacturasRendidas[[#This Row],[usu_codigo]]="","",1)</f>
        <v>1</v>
      </c>
    </row>
    <row r="223" spans="1:10" x14ac:dyDescent="0.25">
      <c r="A223">
        <v>1</v>
      </c>
      <c r="B223">
        <v>3</v>
      </c>
      <c r="C223" t="s">
        <v>81</v>
      </c>
      <c r="D223" t="s">
        <v>15</v>
      </c>
      <c r="E223" t="s">
        <v>54</v>
      </c>
      <c r="F223">
        <v>93145</v>
      </c>
      <c r="G223">
        <f>+YEAR(Tabla__192.168.1.8_POSEIDONSQL_APPFVT_01_SQLFacturasRendidas[[#This Row],[f_facturacion]])</f>
        <v>2018</v>
      </c>
      <c r="H22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223">
        <f>+IF(Tabla__192.168.1.8_POSEIDONSQL_APPFVT_01_SQLFacturasRendidas[[#This Row],[epc_nombre]]="RENDIDA",1,0)</f>
        <v>1</v>
      </c>
      <c r="J223">
        <f>+IF(Tabla__192.168.1.8_POSEIDONSQL_APPFVT_01_SQLFacturasRendidas[[#This Row],[usu_codigo]]="","",1)</f>
        <v>1</v>
      </c>
    </row>
    <row r="224" spans="1:10" x14ac:dyDescent="0.25">
      <c r="A224">
        <v>1</v>
      </c>
      <c r="B224">
        <v>3</v>
      </c>
      <c r="C224" t="s">
        <v>81</v>
      </c>
      <c r="D224" t="s">
        <v>15</v>
      </c>
      <c r="E224" t="s">
        <v>54</v>
      </c>
      <c r="F224">
        <v>93146</v>
      </c>
      <c r="G224">
        <f>+YEAR(Tabla__192.168.1.8_POSEIDONSQL_APPFVT_01_SQLFacturasRendidas[[#This Row],[f_facturacion]])</f>
        <v>2018</v>
      </c>
      <c r="H22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224">
        <f>+IF(Tabla__192.168.1.8_POSEIDONSQL_APPFVT_01_SQLFacturasRendidas[[#This Row],[epc_nombre]]="RENDIDA",1,0)</f>
        <v>1</v>
      </c>
      <c r="J224">
        <f>+IF(Tabla__192.168.1.8_POSEIDONSQL_APPFVT_01_SQLFacturasRendidas[[#This Row],[usu_codigo]]="","",1)</f>
        <v>1</v>
      </c>
    </row>
    <row r="225" spans="1:10" x14ac:dyDescent="0.25">
      <c r="A225">
        <v>1</v>
      </c>
      <c r="B225">
        <v>3</v>
      </c>
      <c r="C225" t="s">
        <v>81</v>
      </c>
      <c r="D225" t="s">
        <v>15</v>
      </c>
      <c r="E225" t="s">
        <v>54</v>
      </c>
      <c r="F225">
        <v>93147</v>
      </c>
      <c r="G225">
        <f>+YEAR(Tabla__192.168.1.8_POSEIDONSQL_APPFVT_01_SQLFacturasRendidas[[#This Row],[f_facturacion]])</f>
        <v>2018</v>
      </c>
      <c r="H22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225">
        <f>+IF(Tabla__192.168.1.8_POSEIDONSQL_APPFVT_01_SQLFacturasRendidas[[#This Row],[epc_nombre]]="RENDIDA",1,0)</f>
        <v>1</v>
      </c>
      <c r="J225">
        <f>+IF(Tabla__192.168.1.8_POSEIDONSQL_APPFVT_01_SQLFacturasRendidas[[#This Row],[usu_codigo]]="","",1)</f>
        <v>1</v>
      </c>
    </row>
    <row r="226" spans="1:10" x14ac:dyDescent="0.25">
      <c r="A226">
        <v>1</v>
      </c>
      <c r="B226">
        <v>3</v>
      </c>
      <c r="C226" t="s">
        <v>81</v>
      </c>
      <c r="D226" t="s">
        <v>15</v>
      </c>
      <c r="E226" t="s">
        <v>54</v>
      </c>
      <c r="F226">
        <v>93148</v>
      </c>
      <c r="G226">
        <f>+YEAR(Tabla__192.168.1.8_POSEIDONSQL_APPFVT_01_SQLFacturasRendidas[[#This Row],[f_facturacion]])</f>
        <v>2018</v>
      </c>
      <c r="H22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226">
        <f>+IF(Tabla__192.168.1.8_POSEIDONSQL_APPFVT_01_SQLFacturasRendidas[[#This Row],[epc_nombre]]="RENDIDA",1,0)</f>
        <v>1</v>
      </c>
      <c r="J226">
        <f>+IF(Tabla__192.168.1.8_POSEIDONSQL_APPFVT_01_SQLFacturasRendidas[[#This Row],[usu_codigo]]="","",1)</f>
        <v>1</v>
      </c>
    </row>
    <row r="227" spans="1:10" x14ac:dyDescent="0.25">
      <c r="A227">
        <v>1</v>
      </c>
      <c r="B227">
        <v>3</v>
      </c>
      <c r="C227" t="s">
        <v>81</v>
      </c>
      <c r="D227" t="s">
        <v>15</v>
      </c>
      <c r="E227" t="s">
        <v>54</v>
      </c>
      <c r="F227">
        <v>93149</v>
      </c>
      <c r="G227">
        <f>+YEAR(Tabla__192.168.1.8_POSEIDONSQL_APPFVT_01_SQLFacturasRendidas[[#This Row],[f_facturacion]])</f>
        <v>2018</v>
      </c>
      <c r="H22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227">
        <f>+IF(Tabla__192.168.1.8_POSEIDONSQL_APPFVT_01_SQLFacturasRendidas[[#This Row],[epc_nombre]]="RENDIDA",1,0)</f>
        <v>1</v>
      </c>
      <c r="J227">
        <f>+IF(Tabla__192.168.1.8_POSEIDONSQL_APPFVT_01_SQLFacturasRendidas[[#This Row],[usu_codigo]]="","",1)</f>
        <v>1</v>
      </c>
    </row>
    <row r="228" spans="1:10" x14ac:dyDescent="0.25">
      <c r="A228">
        <v>1</v>
      </c>
      <c r="B228">
        <v>3</v>
      </c>
      <c r="C228" t="s">
        <v>81</v>
      </c>
      <c r="D228" t="s">
        <v>15</v>
      </c>
      <c r="E228" t="s">
        <v>54</v>
      </c>
      <c r="F228">
        <v>93150</v>
      </c>
      <c r="G228">
        <f>+YEAR(Tabla__192.168.1.8_POSEIDONSQL_APPFVT_01_SQLFacturasRendidas[[#This Row],[f_facturacion]])</f>
        <v>2018</v>
      </c>
      <c r="H22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228">
        <f>+IF(Tabla__192.168.1.8_POSEIDONSQL_APPFVT_01_SQLFacturasRendidas[[#This Row],[epc_nombre]]="RENDIDA",1,0)</f>
        <v>1</v>
      </c>
      <c r="J228">
        <f>+IF(Tabla__192.168.1.8_POSEIDONSQL_APPFVT_01_SQLFacturasRendidas[[#This Row],[usu_codigo]]="","",1)</f>
        <v>1</v>
      </c>
    </row>
    <row r="229" spans="1:10" x14ac:dyDescent="0.25">
      <c r="A229">
        <v>1</v>
      </c>
      <c r="B229">
        <v>3</v>
      </c>
      <c r="C229" t="s">
        <v>81</v>
      </c>
      <c r="D229" t="s">
        <v>15</v>
      </c>
      <c r="E229" t="s">
        <v>54</v>
      </c>
      <c r="F229">
        <v>93151</v>
      </c>
      <c r="G229">
        <f>+YEAR(Tabla__192.168.1.8_POSEIDONSQL_APPFVT_01_SQLFacturasRendidas[[#This Row],[f_facturacion]])</f>
        <v>2018</v>
      </c>
      <c r="H22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229">
        <f>+IF(Tabla__192.168.1.8_POSEIDONSQL_APPFVT_01_SQLFacturasRendidas[[#This Row],[epc_nombre]]="RENDIDA",1,0)</f>
        <v>1</v>
      </c>
      <c r="J229">
        <f>+IF(Tabla__192.168.1.8_POSEIDONSQL_APPFVT_01_SQLFacturasRendidas[[#This Row],[usu_codigo]]="","",1)</f>
        <v>1</v>
      </c>
    </row>
    <row r="230" spans="1:10" x14ac:dyDescent="0.25">
      <c r="A230">
        <v>1</v>
      </c>
      <c r="B230">
        <v>3</v>
      </c>
      <c r="C230" t="s">
        <v>81</v>
      </c>
      <c r="D230" t="s">
        <v>15</v>
      </c>
      <c r="E230" t="s">
        <v>54</v>
      </c>
      <c r="F230">
        <v>93152</v>
      </c>
      <c r="G230">
        <f>+YEAR(Tabla__192.168.1.8_POSEIDONSQL_APPFVT_01_SQLFacturasRendidas[[#This Row],[f_facturacion]])</f>
        <v>2018</v>
      </c>
      <c r="H23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230">
        <f>+IF(Tabla__192.168.1.8_POSEIDONSQL_APPFVT_01_SQLFacturasRendidas[[#This Row],[epc_nombre]]="RENDIDA",1,0)</f>
        <v>1</v>
      </c>
      <c r="J230">
        <f>+IF(Tabla__192.168.1.8_POSEIDONSQL_APPFVT_01_SQLFacturasRendidas[[#This Row],[usu_codigo]]="","",1)</f>
        <v>1</v>
      </c>
    </row>
    <row r="231" spans="1:10" x14ac:dyDescent="0.25">
      <c r="A231">
        <v>1</v>
      </c>
      <c r="B231">
        <v>3</v>
      </c>
      <c r="C231" t="s">
        <v>81</v>
      </c>
      <c r="D231" t="s">
        <v>15</v>
      </c>
      <c r="E231" t="s">
        <v>54</v>
      </c>
      <c r="F231">
        <v>93159</v>
      </c>
      <c r="G231">
        <f>+YEAR(Tabla__192.168.1.8_POSEIDONSQL_APPFVT_01_SQLFacturasRendidas[[#This Row],[f_facturacion]])</f>
        <v>2018</v>
      </c>
      <c r="H23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231">
        <f>+IF(Tabla__192.168.1.8_POSEIDONSQL_APPFVT_01_SQLFacturasRendidas[[#This Row],[epc_nombre]]="RENDIDA",1,0)</f>
        <v>1</v>
      </c>
      <c r="J231">
        <f>+IF(Tabla__192.168.1.8_POSEIDONSQL_APPFVT_01_SQLFacturasRendidas[[#This Row],[usu_codigo]]="","",1)</f>
        <v>1</v>
      </c>
    </row>
    <row r="232" spans="1:10" x14ac:dyDescent="0.25">
      <c r="A232">
        <v>1</v>
      </c>
      <c r="B232">
        <v>3</v>
      </c>
      <c r="C232" t="s">
        <v>81</v>
      </c>
      <c r="D232" t="s">
        <v>15</v>
      </c>
      <c r="E232" t="s">
        <v>29</v>
      </c>
      <c r="F232">
        <v>93205</v>
      </c>
      <c r="G232">
        <f>+YEAR(Tabla__192.168.1.8_POSEIDONSQL_APPFVT_01_SQLFacturasRendidas[[#This Row],[f_facturacion]])</f>
        <v>2018</v>
      </c>
      <c r="H23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232">
        <f>+IF(Tabla__192.168.1.8_POSEIDONSQL_APPFVT_01_SQLFacturasRendidas[[#This Row],[epc_nombre]]="RENDIDA",1,0)</f>
        <v>1</v>
      </c>
      <c r="J232">
        <f>+IF(Tabla__192.168.1.8_POSEIDONSQL_APPFVT_01_SQLFacturasRendidas[[#This Row],[usu_codigo]]="","",1)</f>
        <v>1</v>
      </c>
    </row>
    <row r="233" spans="1:10" x14ac:dyDescent="0.25">
      <c r="A233">
        <v>1</v>
      </c>
      <c r="B233">
        <v>3</v>
      </c>
      <c r="C233" t="s">
        <v>81</v>
      </c>
      <c r="D233" t="s">
        <v>15</v>
      </c>
      <c r="E233" t="s">
        <v>29</v>
      </c>
      <c r="F233">
        <v>93206</v>
      </c>
      <c r="G233">
        <f>+YEAR(Tabla__192.168.1.8_POSEIDONSQL_APPFVT_01_SQLFacturasRendidas[[#This Row],[f_facturacion]])</f>
        <v>2018</v>
      </c>
      <c r="H23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233">
        <f>+IF(Tabla__192.168.1.8_POSEIDONSQL_APPFVT_01_SQLFacturasRendidas[[#This Row],[epc_nombre]]="RENDIDA",1,0)</f>
        <v>1</v>
      </c>
      <c r="J233">
        <f>+IF(Tabla__192.168.1.8_POSEIDONSQL_APPFVT_01_SQLFacturasRendidas[[#This Row],[usu_codigo]]="","",1)</f>
        <v>1</v>
      </c>
    </row>
    <row r="234" spans="1:10" x14ac:dyDescent="0.25">
      <c r="A234">
        <v>1</v>
      </c>
      <c r="B234">
        <v>3</v>
      </c>
      <c r="C234" t="s">
        <v>81</v>
      </c>
      <c r="D234" t="s">
        <v>15</v>
      </c>
      <c r="E234" t="s">
        <v>29</v>
      </c>
      <c r="F234">
        <v>93207</v>
      </c>
      <c r="G234">
        <f>+YEAR(Tabla__192.168.1.8_POSEIDONSQL_APPFVT_01_SQLFacturasRendidas[[#This Row],[f_facturacion]])</f>
        <v>2018</v>
      </c>
      <c r="H23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234">
        <f>+IF(Tabla__192.168.1.8_POSEIDONSQL_APPFVT_01_SQLFacturasRendidas[[#This Row],[epc_nombre]]="RENDIDA",1,0)</f>
        <v>1</v>
      </c>
      <c r="J234">
        <f>+IF(Tabla__192.168.1.8_POSEIDONSQL_APPFVT_01_SQLFacturasRendidas[[#This Row],[usu_codigo]]="","",1)</f>
        <v>1</v>
      </c>
    </row>
    <row r="235" spans="1:10" x14ac:dyDescent="0.25">
      <c r="A235">
        <v>1</v>
      </c>
      <c r="B235">
        <v>3</v>
      </c>
      <c r="C235" t="s">
        <v>81</v>
      </c>
      <c r="D235" t="s">
        <v>15</v>
      </c>
      <c r="E235" t="s">
        <v>29</v>
      </c>
      <c r="F235">
        <v>93208</v>
      </c>
      <c r="G235">
        <f>+YEAR(Tabla__192.168.1.8_POSEIDONSQL_APPFVT_01_SQLFacturasRendidas[[#This Row],[f_facturacion]])</f>
        <v>2018</v>
      </c>
      <c r="H23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235">
        <f>+IF(Tabla__192.168.1.8_POSEIDONSQL_APPFVT_01_SQLFacturasRendidas[[#This Row],[epc_nombre]]="RENDIDA",1,0)</f>
        <v>1</v>
      </c>
      <c r="J235">
        <f>+IF(Tabla__192.168.1.8_POSEIDONSQL_APPFVT_01_SQLFacturasRendidas[[#This Row],[usu_codigo]]="","",1)</f>
        <v>1</v>
      </c>
    </row>
    <row r="236" spans="1:10" x14ac:dyDescent="0.25">
      <c r="A236">
        <v>1</v>
      </c>
      <c r="B236">
        <v>3</v>
      </c>
      <c r="C236" t="s">
        <v>81</v>
      </c>
      <c r="D236" t="s">
        <v>15</v>
      </c>
      <c r="E236" t="s">
        <v>30</v>
      </c>
      <c r="F236">
        <v>93382</v>
      </c>
      <c r="G236">
        <f>+YEAR(Tabla__192.168.1.8_POSEIDONSQL_APPFVT_01_SQLFacturasRendidas[[#This Row],[f_facturacion]])</f>
        <v>2018</v>
      </c>
      <c r="H23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236">
        <f>+IF(Tabla__192.168.1.8_POSEIDONSQL_APPFVT_01_SQLFacturasRendidas[[#This Row],[epc_nombre]]="RENDIDA",1,0)</f>
        <v>1</v>
      </c>
      <c r="J236">
        <f>+IF(Tabla__192.168.1.8_POSEIDONSQL_APPFVT_01_SQLFacturasRendidas[[#This Row],[usu_codigo]]="","",1)</f>
        <v>1</v>
      </c>
    </row>
    <row r="237" spans="1:10" x14ac:dyDescent="0.25">
      <c r="A237">
        <v>1</v>
      </c>
      <c r="B237">
        <v>3</v>
      </c>
      <c r="C237" t="s">
        <v>81</v>
      </c>
      <c r="D237" t="s">
        <v>15</v>
      </c>
      <c r="E237" t="s">
        <v>73</v>
      </c>
      <c r="F237">
        <v>93445</v>
      </c>
      <c r="G237">
        <f>+YEAR(Tabla__192.168.1.8_POSEIDONSQL_APPFVT_01_SQLFacturasRendidas[[#This Row],[f_facturacion]])</f>
        <v>2018</v>
      </c>
      <c r="H23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237">
        <f>+IF(Tabla__192.168.1.8_POSEIDONSQL_APPFVT_01_SQLFacturasRendidas[[#This Row],[epc_nombre]]="RENDIDA",1,0)</f>
        <v>1</v>
      </c>
      <c r="J237">
        <f>+IF(Tabla__192.168.1.8_POSEIDONSQL_APPFVT_01_SQLFacturasRendidas[[#This Row],[usu_codigo]]="","",1)</f>
        <v>1</v>
      </c>
    </row>
    <row r="238" spans="1:10" x14ac:dyDescent="0.25">
      <c r="A238">
        <v>1</v>
      </c>
      <c r="B238">
        <v>3</v>
      </c>
      <c r="C238" t="s">
        <v>81</v>
      </c>
      <c r="D238" t="s">
        <v>15</v>
      </c>
      <c r="E238" t="s">
        <v>73</v>
      </c>
      <c r="F238">
        <v>93446</v>
      </c>
      <c r="G238">
        <f>+YEAR(Tabla__192.168.1.8_POSEIDONSQL_APPFVT_01_SQLFacturasRendidas[[#This Row],[f_facturacion]])</f>
        <v>2018</v>
      </c>
      <c r="H23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238">
        <f>+IF(Tabla__192.168.1.8_POSEIDONSQL_APPFVT_01_SQLFacturasRendidas[[#This Row],[epc_nombre]]="RENDIDA",1,0)</f>
        <v>1</v>
      </c>
      <c r="J238">
        <f>+IF(Tabla__192.168.1.8_POSEIDONSQL_APPFVT_01_SQLFacturasRendidas[[#This Row],[usu_codigo]]="","",1)</f>
        <v>1</v>
      </c>
    </row>
    <row r="239" spans="1:10" x14ac:dyDescent="0.25">
      <c r="A239">
        <v>1</v>
      </c>
      <c r="B239">
        <v>3</v>
      </c>
      <c r="C239" t="s">
        <v>81</v>
      </c>
      <c r="D239" t="s">
        <v>15</v>
      </c>
      <c r="E239" t="s">
        <v>73</v>
      </c>
      <c r="F239">
        <v>93447</v>
      </c>
      <c r="G239">
        <f>+YEAR(Tabla__192.168.1.8_POSEIDONSQL_APPFVT_01_SQLFacturasRendidas[[#This Row],[f_facturacion]])</f>
        <v>2018</v>
      </c>
      <c r="H23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239">
        <f>+IF(Tabla__192.168.1.8_POSEIDONSQL_APPFVT_01_SQLFacturasRendidas[[#This Row],[epc_nombre]]="RENDIDA",1,0)</f>
        <v>1</v>
      </c>
      <c r="J239">
        <f>+IF(Tabla__192.168.1.8_POSEIDONSQL_APPFVT_01_SQLFacturasRendidas[[#This Row],[usu_codigo]]="","",1)</f>
        <v>1</v>
      </c>
    </row>
    <row r="240" spans="1:10" x14ac:dyDescent="0.25">
      <c r="A240">
        <v>1</v>
      </c>
      <c r="B240">
        <v>3</v>
      </c>
      <c r="C240" t="s">
        <v>81</v>
      </c>
      <c r="D240" t="s">
        <v>15</v>
      </c>
      <c r="E240" t="s">
        <v>73</v>
      </c>
      <c r="F240">
        <v>93448</v>
      </c>
      <c r="G240">
        <f>+YEAR(Tabla__192.168.1.8_POSEIDONSQL_APPFVT_01_SQLFacturasRendidas[[#This Row],[f_facturacion]])</f>
        <v>2018</v>
      </c>
      <c r="H24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240">
        <f>+IF(Tabla__192.168.1.8_POSEIDONSQL_APPFVT_01_SQLFacturasRendidas[[#This Row],[epc_nombre]]="RENDIDA",1,0)</f>
        <v>1</v>
      </c>
      <c r="J240">
        <f>+IF(Tabla__192.168.1.8_POSEIDONSQL_APPFVT_01_SQLFacturasRendidas[[#This Row],[usu_codigo]]="","",1)</f>
        <v>1</v>
      </c>
    </row>
    <row r="241" spans="1:10" x14ac:dyDescent="0.25">
      <c r="A241">
        <v>1</v>
      </c>
      <c r="B241">
        <v>3</v>
      </c>
      <c r="C241" t="s">
        <v>81</v>
      </c>
      <c r="D241" t="s">
        <v>15</v>
      </c>
      <c r="E241" t="s">
        <v>73</v>
      </c>
      <c r="F241">
        <v>93449</v>
      </c>
      <c r="G241">
        <f>+YEAR(Tabla__192.168.1.8_POSEIDONSQL_APPFVT_01_SQLFacturasRendidas[[#This Row],[f_facturacion]])</f>
        <v>2018</v>
      </c>
      <c r="H24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241">
        <f>+IF(Tabla__192.168.1.8_POSEIDONSQL_APPFVT_01_SQLFacturasRendidas[[#This Row],[epc_nombre]]="RENDIDA",1,0)</f>
        <v>1</v>
      </c>
      <c r="J241">
        <f>+IF(Tabla__192.168.1.8_POSEIDONSQL_APPFVT_01_SQLFacturasRendidas[[#This Row],[usu_codigo]]="","",1)</f>
        <v>1</v>
      </c>
    </row>
    <row r="242" spans="1:10" x14ac:dyDescent="0.25">
      <c r="A242">
        <v>1</v>
      </c>
      <c r="B242">
        <v>3</v>
      </c>
      <c r="C242" t="s">
        <v>81</v>
      </c>
      <c r="D242" t="s">
        <v>15</v>
      </c>
      <c r="E242" t="s">
        <v>73</v>
      </c>
      <c r="F242">
        <v>93450</v>
      </c>
      <c r="G242">
        <f>+YEAR(Tabla__192.168.1.8_POSEIDONSQL_APPFVT_01_SQLFacturasRendidas[[#This Row],[f_facturacion]])</f>
        <v>2018</v>
      </c>
      <c r="H24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242">
        <f>+IF(Tabla__192.168.1.8_POSEIDONSQL_APPFVT_01_SQLFacturasRendidas[[#This Row],[epc_nombre]]="RENDIDA",1,0)</f>
        <v>1</v>
      </c>
      <c r="J242">
        <f>+IF(Tabla__192.168.1.8_POSEIDONSQL_APPFVT_01_SQLFacturasRendidas[[#This Row],[usu_codigo]]="","",1)</f>
        <v>1</v>
      </c>
    </row>
    <row r="243" spans="1:10" x14ac:dyDescent="0.25">
      <c r="A243">
        <v>1</v>
      </c>
      <c r="B243">
        <v>3</v>
      </c>
      <c r="C243" t="s">
        <v>81</v>
      </c>
      <c r="D243" t="s">
        <v>15</v>
      </c>
      <c r="E243" t="s">
        <v>73</v>
      </c>
      <c r="F243">
        <v>93451</v>
      </c>
      <c r="G243">
        <f>+YEAR(Tabla__192.168.1.8_POSEIDONSQL_APPFVT_01_SQLFacturasRendidas[[#This Row],[f_facturacion]])</f>
        <v>2018</v>
      </c>
      <c r="H24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243">
        <f>+IF(Tabla__192.168.1.8_POSEIDONSQL_APPFVT_01_SQLFacturasRendidas[[#This Row],[epc_nombre]]="RENDIDA",1,0)</f>
        <v>1</v>
      </c>
      <c r="J243">
        <f>+IF(Tabla__192.168.1.8_POSEIDONSQL_APPFVT_01_SQLFacturasRendidas[[#This Row],[usu_codigo]]="","",1)</f>
        <v>1</v>
      </c>
    </row>
    <row r="244" spans="1:10" x14ac:dyDescent="0.25">
      <c r="A244">
        <v>1</v>
      </c>
      <c r="B244">
        <v>3</v>
      </c>
      <c r="C244" t="s">
        <v>81</v>
      </c>
      <c r="D244" t="s">
        <v>15</v>
      </c>
      <c r="E244" t="s">
        <v>73</v>
      </c>
      <c r="F244">
        <v>93452</v>
      </c>
      <c r="G244">
        <f>+YEAR(Tabla__192.168.1.8_POSEIDONSQL_APPFVT_01_SQLFacturasRendidas[[#This Row],[f_facturacion]])</f>
        <v>2018</v>
      </c>
      <c r="H24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244">
        <f>+IF(Tabla__192.168.1.8_POSEIDONSQL_APPFVT_01_SQLFacturasRendidas[[#This Row],[epc_nombre]]="RENDIDA",1,0)</f>
        <v>1</v>
      </c>
      <c r="J244">
        <f>+IF(Tabla__192.168.1.8_POSEIDONSQL_APPFVT_01_SQLFacturasRendidas[[#This Row],[usu_codigo]]="","",1)</f>
        <v>1</v>
      </c>
    </row>
    <row r="245" spans="1:10" x14ac:dyDescent="0.25">
      <c r="A245">
        <v>1</v>
      </c>
      <c r="B245">
        <v>3</v>
      </c>
      <c r="C245" t="s">
        <v>81</v>
      </c>
      <c r="D245" t="s">
        <v>15</v>
      </c>
      <c r="E245" t="s">
        <v>73</v>
      </c>
      <c r="F245">
        <v>93453</v>
      </c>
      <c r="G245">
        <f>+YEAR(Tabla__192.168.1.8_POSEIDONSQL_APPFVT_01_SQLFacturasRendidas[[#This Row],[f_facturacion]])</f>
        <v>2018</v>
      </c>
      <c r="H24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245">
        <f>+IF(Tabla__192.168.1.8_POSEIDONSQL_APPFVT_01_SQLFacturasRendidas[[#This Row],[epc_nombre]]="RENDIDA",1,0)</f>
        <v>1</v>
      </c>
      <c r="J245">
        <f>+IF(Tabla__192.168.1.8_POSEIDONSQL_APPFVT_01_SQLFacturasRendidas[[#This Row],[usu_codigo]]="","",1)</f>
        <v>1</v>
      </c>
    </row>
    <row r="246" spans="1:10" x14ac:dyDescent="0.25">
      <c r="A246">
        <v>1</v>
      </c>
      <c r="B246">
        <v>3</v>
      </c>
      <c r="C246" t="s">
        <v>81</v>
      </c>
      <c r="D246" t="s">
        <v>15</v>
      </c>
      <c r="E246" t="s">
        <v>73</v>
      </c>
      <c r="F246">
        <v>93454</v>
      </c>
      <c r="G246">
        <f>+YEAR(Tabla__192.168.1.8_POSEIDONSQL_APPFVT_01_SQLFacturasRendidas[[#This Row],[f_facturacion]])</f>
        <v>2018</v>
      </c>
      <c r="H24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246">
        <f>+IF(Tabla__192.168.1.8_POSEIDONSQL_APPFVT_01_SQLFacturasRendidas[[#This Row],[epc_nombre]]="RENDIDA",1,0)</f>
        <v>1</v>
      </c>
      <c r="J246">
        <f>+IF(Tabla__192.168.1.8_POSEIDONSQL_APPFVT_01_SQLFacturasRendidas[[#This Row],[usu_codigo]]="","",1)</f>
        <v>1</v>
      </c>
    </row>
    <row r="247" spans="1:10" x14ac:dyDescent="0.25">
      <c r="A247">
        <v>1</v>
      </c>
      <c r="B247">
        <v>3</v>
      </c>
      <c r="C247" t="s">
        <v>81</v>
      </c>
      <c r="D247" t="s">
        <v>15</v>
      </c>
      <c r="E247" t="s">
        <v>73</v>
      </c>
      <c r="F247">
        <v>93455</v>
      </c>
      <c r="G247">
        <f>+YEAR(Tabla__192.168.1.8_POSEIDONSQL_APPFVT_01_SQLFacturasRendidas[[#This Row],[f_facturacion]])</f>
        <v>2018</v>
      </c>
      <c r="H24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247">
        <f>+IF(Tabla__192.168.1.8_POSEIDONSQL_APPFVT_01_SQLFacturasRendidas[[#This Row],[epc_nombre]]="RENDIDA",1,0)</f>
        <v>1</v>
      </c>
      <c r="J247">
        <f>+IF(Tabla__192.168.1.8_POSEIDONSQL_APPFVT_01_SQLFacturasRendidas[[#This Row],[usu_codigo]]="","",1)</f>
        <v>1</v>
      </c>
    </row>
    <row r="248" spans="1:10" x14ac:dyDescent="0.25">
      <c r="A248">
        <v>1</v>
      </c>
      <c r="B248">
        <v>3</v>
      </c>
      <c r="C248" t="s">
        <v>81</v>
      </c>
      <c r="D248" t="s">
        <v>15</v>
      </c>
      <c r="E248" t="s">
        <v>73</v>
      </c>
      <c r="F248">
        <v>93456</v>
      </c>
      <c r="G248">
        <f>+YEAR(Tabla__192.168.1.8_POSEIDONSQL_APPFVT_01_SQLFacturasRendidas[[#This Row],[f_facturacion]])</f>
        <v>2018</v>
      </c>
      <c r="H24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248">
        <f>+IF(Tabla__192.168.1.8_POSEIDONSQL_APPFVT_01_SQLFacturasRendidas[[#This Row],[epc_nombre]]="RENDIDA",1,0)</f>
        <v>1</v>
      </c>
      <c r="J248">
        <f>+IF(Tabla__192.168.1.8_POSEIDONSQL_APPFVT_01_SQLFacturasRendidas[[#This Row],[usu_codigo]]="","",1)</f>
        <v>1</v>
      </c>
    </row>
    <row r="249" spans="1:10" x14ac:dyDescent="0.25">
      <c r="A249">
        <v>1</v>
      </c>
      <c r="B249">
        <v>3</v>
      </c>
      <c r="C249" t="s">
        <v>81</v>
      </c>
      <c r="D249" t="s">
        <v>15</v>
      </c>
      <c r="E249" t="s">
        <v>73</v>
      </c>
      <c r="F249">
        <v>93457</v>
      </c>
      <c r="G249">
        <f>+YEAR(Tabla__192.168.1.8_POSEIDONSQL_APPFVT_01_SQLFacturasRendidas[[#This Row],[f_facturacion]])</f>
        <v>2018</v>
      </c>
      <c r="H24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249">
        <f>+IF(Tabla__192.168.1.8_POSEIDONSQL_APPFVT_01_SQLFacturasRendidas[[#This Row],[epc_nombre]]="RENDIDA",1,0)</f>
        <v>1</v>
      </c>
      <c r="J249">
        <f>+IF(Tabla__192.168.1.8_POSEIDONSQL_APPFVT_01_SQLFacturasRendidas[[#This Row],[usu_codigo]]="","",1)</f>
        <v>1</v>
      </c>
    </row>
    <row r="250" spans="1:10" x14ac:dyDescent="0.25">
      <c r="A250">
        <v>1</v>
      </c>
      <c r="B250">
        <v>3</v>
      </c>
      <c r="C250" t="s">
        <v>81</v>
      </c>
      <c r="D250" t="s">
        <v>15</v>
      </c>
      <c r="E250" t="s">
        <v>73</v>
      </c>
      <c r="F250">
        <v>93458</v>
      </c>
      <c r="G250">
        <f>+YEAR(Tabla__192.168.1.8_POSEIDONSQL_APPFVT_01_SQLFacturasRendidas[[#This Row],[f_facturacion]])</f>
        <v>2018</v>
      </c>
      <c r="H25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250">
        <f>+IF(Tabla__192.168.1.8_POSEIDONSQL_APPFVT_01_SQLFacturasRendidas[[#This Row],[epc_nombre]]="RENDIDA",1,0)</f>
        <v>1</v>
      </c>
      <c r="J250">
        <f>+IF(Tabla__192.168.1.8_POSEIDONSQL_APPFVT_01_SQLFacturasRendidas[[#This Row],[usu_codigo]]="","",1)</f>
        <v>1</v>
      </c>
    </row>
    <row r="251" spans="1:10" x14ac:dyDescent="0.25">
      <c r="A251">
        <v>1</v>
      </c>
      <c r="B251">
        <v>3</v>
      </c>
      <c r="C251" t="s">
        <v>81</v>
      </c>
      <c r="D251" t="s">
        <v>15</v>
      </c>
      <c r="E251" t="s">
        <v>56</v>
      </c>
      <c r="F251">
        <v>93513</v>
      </c>
      <c r="G251">
        <f>+YEAR(Tabla__192.168.1.8_POSEIDONSQL_APPFVT_01_SQLFacturasRendidas[[#This Row],[f_facturacion]])</f>
        <v>2018</v>
      </c>
      <c r="H25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251">
        <f>+IF(Tabla__192.168.1.8_POSEIDONSQL_APPFVT_01_SQLFacturasRendidas[[#This Row],[epc_nombre]]="RENDIDA",1,0)</f>
        <v>1</v>
      </c>
      <c r="J251">
        <f>+IF(Tabla__192.168.1.8_POSEIDONSQL_APPFVT_01_SQLFacturasRendidas[[#This Row],[usu_codigo]]="","",1)</f>
        <v>1</v>
      </c>
    </row>
    <row r="252" spans="1:10" x14ac:dyDescent="0.25">
      <c r="A252">
        <v>1</v>
      </c>
      <c r="B252">
        <v>3</v>
      </c>
      <c r="C252" t="s">
        <v>81</v>
      </c>
      <c r="D252" t="s">
        <v>15</v>
      </c>
      <c r="E252" t="s">
        <v>56</v>
      </c>
      <c r="F252">
        <v>93514</v>
      </c>
      <c r="G252">
        <f>+YEAR(Tabla__192.168.1.8_POSEIDONSQL_APPFVT_01_SQLFacturasRendidas[[#This Row],[f_facturacion]])</f>
        <v>2018</v>
      </c>
      <c r="H25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252">
        <f>+IF(Tabla__192.168.1.8_POSEIDONSQL_APPFVT_01_SQLFacturasRendidas[[#This Row],[epc_nombre]]="RENDIDA",1,0)</f>
        <v>1</v>
      </c>
      <c r="J252">
        <f>+IF(Tabla__192.168.1.8_POSEIDONSQL_APPFVT_01_SQLFacturasRendidas[[#This Row],[usu_codigo]]="","",1)</f>
        <v>1</v>
      </c>
    </row>
    <row r="253" spans="1:10" x14ac:dyDescent="0.25">
      <c r="A253">
        <v>1</v>
      </c>
      <c r="B253">
        <v>3</v>
      </c>
      <c r="C253" t="s">
        <v>81</v>
      </c>
      <c r="D253" t="s">
        <v>15</v>
      </c>
      <c r="E253" t="s">
        <v>56</v>
      </c>
      <c r="F253">
        <v>93515</v>
      </c>
      <c r="G253">
        <f>+YEAR(Tabla__192.168.1.8_POSEIDONSQL_APPFVT_01_SQLFacturasRendidas[[#This Row],[f_facturacion]])</f>
        <v>2018</v>
      </c>
      <c r="H25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253">
        <f>+IF(Tabla__192.168.1.8_POSEIDONSQL_APPFVT_01_SQLFacturasRendidas[[#This Row],[epc_nombre]]="RENDIDA",1,0)</f>
        <v>1</v>
      </c>
      <c r="J253">
        <f>+IF(Tabla__192.168.1.8_POSEIDONSQL_APPFVT_01_SQLFacturasRendidas[[#This Row],[usu_codigo]]="","",1)</f>
        <v>1</v>
      </c>
    </row>
    <row r="254" spans="1:10" x14ac:dyDescent="0.25">
      <c r="A254">
        <v>1</v>
      </c>
      <c r="B254">
        <v>3</v>
      </c>
      <c r="C254" t="s">
        <v>81</v>
      </c>
      <c r="D254" t="s">
        <v>15</v>
      </c>
      <c r="E254" t="s">
        <v>56</v>
      </c>
      <c r="F254">
        <v>93516</v>
      </c>
      <c r="G254">
        <f>+YEAR(Tabla__192.168.1.8_POSEIDONSQL_APPFVT_01_SQLFacturasRendidas[[#This Row],[f_facturacion]])</f>
        <v>2018</v>
      </c>
      <c r="H25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254">
        <f>+IF(Tabla__192.168.1.8_POSEIDONSQL_APPFVT_01_SQLFacturasRendidas[[#This Row],[epc_nombre]]="RENDIDA",1,0)</f>
        <v>1</v>
      </c>
      <c r="J254">
        <f>+IF(Tabla__192.168.1.8_POSEIDONSQL_APPFVT_01_SQLFacturasRendidas[[#This Row],[usu_codigo]]="","",1)</f>
        <v>1</v>
      </c>
    </row>
    <row r="255" spans="1:10" x14ac:dyDescent="0.25">
      <c r="A255">
        <v>1</v>
      </c>
      <c r="B255">
        <v>3</v>
      </c>
      <c r="C255" t="s">
        <v>81</v>
      </c>
      <c r="D255" t="s">
        <v>15</v>
      </c>
      <c r="E255" t="s">
        <v>56</v>
      </c>
      <c r="F255">
        <v>93517</v>
      </c>
      <c r="G255">
        <f>+YEAR(Tabla__192.168.1.8_POSEIDONSQL_APPFVT_01_SQLFacturasRendidas[[#This Row],[f_facturacion]])</f>
        <v>2018</v>
      </c>
      <c r="H25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255">
        <f>+IF(Tabla__192.168.1.8_POSEIDONSQL_APPFVT_01_SQLFacturasRendidas[[#This Row],[epc_nombre]]="RENDIDA",1,0)</f>
        <v>1</v>
      </c>
      <c r="J255">
        <f>+IF(Tabla__192.168.1.8_POSEIDONSQL_APPFVT_01_SQLFacturasRendidas[[#This Row],[usu_codigo]]="","",1)</f>
        <v>1</v>
      </c>
    </row>
    <row r="256" spans="1:10" x14ac:dyDescent="0.25">
      <c r="A256">
        <v>1</v>
      </c>
      <c r="B256">
        <v>3</v>
      </c>
      <c r="C256" t="s">
        <v>81</v>
      </c>
      <c r="D256" t="s">
        <v>15</v>
      </c>
      <c r="E256" t="s">
        <v>56</v>
      </c>
      <c r="F256">
        <v>93518</v>
      </c>
      <c r="G256">
        <f>+YEAR(Tabla__192.168.1.8_POSEIDONSQL_APPFVT_01_SQLFacturasRendidas[[#This Row],[f_facturacion]])</f>
        <v>2018</v>
      </c>
      <c r="H25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256">
        <f>+IF(Tabla__192.168.1.8_POSEIDONSQL_APPFVT_01_SQLFacturasRendidas[[#This Row],[epc_nombre]]="RENDIDA",1,0)</f>
        <v>1</v>
      </c>
      <c r="J256">
        <f>+IF(Tabla__192.168.1.8_POSEIDONSQL_APPFVT_01_SQLFacturasRendidas[[#This Row],[usu_codigo]]="","",1)</f>
        <v>1</v>
      </c>
    </row>
    <row r="257" spans="1:10" x14ac:dyDescent="0.25">
      <c r="A257">
        <v>1</v>
      </c>
      <c r="B257">
        <v>3</v>
      </c>
      <c r="C257" t="s">
        <v>81</v>
      </c>
      <c r="D257" t="s">
        <v>15</v>
      </c>
      <c r="E257" t="s">
        <v>56</v>
      </c>
      <c r="F257">
        <v>93519</v>
      </c>
      <c r="G257">
        <f>+YEAR(Tabla__192.168.1.8_POSEIDONSQL_APPFVT_01_SQLFacturasRendidas[[#This Row],[f_facturacion]])</f>
        <v>2018</v>
      </c>
      <c r="H25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257">
        <f>+IF(Tabla__192.168.1.8_POSEIDONSQL_APPFVT_01_SQLFacturasRendidas[[#This Row],[epc_nombre]]="RENDIDA",1,0)</f>
        <v>1</v>
      </c>
      <c r="J257">
        <f>+IF(Tabla__192.168.1.8_POSEIDONSQL_APPFVT_01_SQLFacturasRendidas[[#This Row],[usu_codigo]]="","",1)</f>
        <v>1</v>
      </c>
    </row>
    <row r="258" spans="1:10" x14ac:dyDescent="0.25">
      <c r="A258">
        <v>1</v>
      </c>
      <c r="B258">
        <v>3</v>
      </c>
      <c r="C258" t="s">
        <v>81</v>
      </c>
      <c r="D258" t="s">
        <v>15</v>
      </c>
      <c r="E258" t="s">
        <v>56</v>
      </c>
      <c r="F258">
        <v>93520</v>
      </c>
      <c r="G258">
        <f>+YEAR(Tabla__192.168.1.8_POSEIDONSQL_APPFVT_01_SQLFacturasRendidas[[#This Row],[f_facturacion]])</f>
        <v>2018</v>
      </c>
      <c r="H25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258">
        <f>+IF(Tabla__192.168.1.8_POSEIDONSQL_APPFVT_01_SQLFacturasRendidas[[#This Row],[epc_nombre]]="RENDIDA",1,0)</f>
        <v>1</v>
      </c>
      <c r="J258">
        <f>+IF(Tabla__192.168.1.8_POSEIDONSQL_APPFVT_01_SQLFacturasRendidas[[#This Row],[usu_codigo]]="","",1)</f>
        <v>1</v>
      </c>
    </row>
    <row r="259" spans="1:10" x14ac:dyDescent="0.25">
      <c r="A259">
        <v>1</v>
      </c>
      <c r="B259">
        <v>3</v>
      </c>
      <c r="C259" t="s">
        <v>81</v>
      </c>
      <c r="D259" t="s">
        <v>15</v>
      </c>
      <c r="E259" t="s">
        <v>56</v>
      </c>
      <c r="F259">
        <v>93521</v>
      </c>
      <c r="G259">
        <f>+YEAR(Tabla__192.168.1.8_POSEIDONSQL_APPFVT_01_SQLFacturasRendidas[[#This Row],[f_facturacion]])</f>
        <v>2018</v>
      </c>
      <c r="H25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259">
        <f>+IF(Tabla__192.168.1.8_POSEIDONSQL_APPFVT_01_SQLFacturasRendidas[[#This Row],[epc_nombre]]="RENDIDA",1,0)</f>
        <v>1</v>
      </c>
      <c r="J259">
        <f>+IF(Tabla__192.168.1.8_POSEIDONSQL_APPFVT_01_SQLFacturasRendidas[[#This Row],[usu_codigo]]="","",1)</f>
        <v>1</v>
      </c>
    </row>
    <row r="260" spans="1:10" x14ac:dyDescent="0.25">
      <c r="A260">
        <v>1</v>
      </c>
      <c r="B260">
        <v>3</v>
      </c>
      <c r="C260" t="s">
        <v>81</v>
      </c>
      <c r="D260" t="s">
        <v>15</v>
      </c>
      <c r="E260" t="s">
        <v>56</v>
      </c>
      <c r="F260">
        <v>93522</v>
      </c>
      <c r="G260">
        <f>+YEAR(Tabla__192.168.1.8_POSEIDONSQL_APPFVT_01_SQLFacturasRendidas[[#This Row],[f_facturacion]])</f>
        <v>2018</v>
      </c>
      <c r="H26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260">
        <f>+IF(Tabla__192.168.1.8_POSEIDONSQL_APPFVT_01_SQLFacturasRendidas[[#This Row],[epc_nombre]]="RENDIDA",1,0)</f>
        <v>1</v>
      </c>
      <c r="J260">
        <f>+IF(Tabla__192.168.1.8_POSEIDONSQL_APPFVT_01_SQLFacturasRendidas[[#This Row],[usu_codigo]]="","",1)</f>
        <v>1</v>
      </c>
    </row>
    <row r="261" spans="1:10" x14ac:dyDescent="0.25">
      <c r="A261">
        <v>1</v>
      </c>
      <c r="B261">
        <v>3</v>
      </c>
      <c r="C261" t="s">
        <v>81</v>
      </c>
      <c r="D261" t="s">
        <v>15</v>
      </c>
      <c r="E261" t="s">
        <v>56</v>
      </c>
      <c r="F261">
        <v>93523</v>
      </c>
      <c r="G261">
        <f>+YEAR(Tabla__192.168.1.8_POSEIDONSQL_APPFVT_01_SQLFacturasRendidas[[#This Row],[f_facturacion]])</f>
        <v>2018</v>
      </c>
      <c r="H26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261">
        <f>+IF(Tabla__192.168.1.8_POSEIDONSQL_APPFVT_01_SQLFacturasRendidas[[#This Row],[epc_nombre]]="RENDIDA",1,0)</f>
        <v>1</v>
      </c>
      <c r="J261">
        <f>+IF(Tabla__192.168.1.8_POSEIDONSQL_APPFVT_01_SQLFacturasRendidas[[#This Row],[usu_codigo]]="","",1)</f>
        <v>1</v>
      </c>
    </row>
    <row r="262" spans="1:10" x14ac:dyDescent="0.25">
      <c r="A262">
        <v>1</v>
      </c>
      <c r="B262">
        <v>3</v>
      </c>
      <c r="C262" t="s">
        <v>81</v>
      </c>
      <c r="D262" t="s">
        <v>15</v>
      </c>
      <c r="E262" t="s">
        <v>56</v>
      </c>
      <c r="F262">
        <v>93524</v>
      </c>
      <c r="G262">
        <f>+YEAR(Tabla__192.168.1.8_POSEIDONSQL_APPFVT_01_SQLFacturasRendidas[[#This Row],[f_facturacion]])</f>
        <v>2018</v>
      </c>
      <c r="H26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262">
        <f>+IF(Tabla__192.168.1.8_POSEIDONSQL_APPFVT_01_SQLFacturasRendidas[[#This Row],[epc_nombre]]="RENDIDA",1,0)</f>
        <v>1</v>
      </c>
      <c r="J262">
        <f>+IF(Tabla__192.168.1.8_POSEIDONSQL_APPFVT_01_SQLFacturasRendidas[[#This Row],[usu_codigo]]="","",1)</f>
        <v>1</v>
      </c>
    </row>
    <row r="263" spans="1:10" x14ac:dyDescent="0.25">
      <c r="A263">
        <v>1</v>
      </c>
      <c r="B263">
        <v>3</v>
      </c>
      <c r="C263" t="s">
        <v>81</v>
      </c>
      <c r="D263" t="s">
        <v>15</v>
      </c>
      <c r="E263" t="s">
        <v>56</v>
      </c>
      <c r="F263">
        <v>93525</v>
      </c>
      <c r="G263">
        <f>+YEAR(Tabla__192.168.1.8_POSEIDONSQL_APPFVT_01_SQLFacturasRendidas[[#This Row],[f_facturacion]])</f>
        <v>2018</v>
      </c>
      <c r="H26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263">
        <f>+IF(Tabla__192.168.1.8_POSEIDONSQL_APPFVT_01_SQLFacturasRendidas[[#This Row],[epc_nombre]]="RENDIDA",1,0)</f>
        <v>1</v>
      </c>
      <c r="J263">
        <f>+IF(Tabla__192.168.1.8_POSEIDONSQL_APPFVT_01_SQLFacturasRendidas[[#This Row],[usu_codigo]]="","",1)</f>
        <v>1</v>
      </c>
    </row>
    <row r="264" spans="1:10" x14ac:dyDescent="0.25">
      <c r="A264">
        <v>1</v>
      </c>
      <c r="B264">
        <v>3</v>
      </c>
      <c r="C264" t="s">
        <v>81</v>
      </c>
      <c r="D264" t="s">
        <v>15</v>
      </c>
      <c r="E264" t="s">
        <v>56</v>
      </c>
      <c r="F264">
        <v>93526</v>
      </c>
      <c r="G264">
        <f>+YEAR(Tabla__192.168.1.8_POSEIDONSQL_APPFVT_01_SQLFacturasRendidas[[#This Row],[f_facturacion]])</f>
        <v>2018</v>
      </c>
      <c r="H26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264">
        <f>+IF(Tabla__192.168.1.8_POSEIDONSQL_APPFVT_01_SQLFacturasRendidas[[#This Row],[epc_nombre]]="RENDIDA",1,0)</f>
        <v>1</v>
      </c>
      <c r="J264">
        <f>+IF(Tabla__192.168.1.8_POSEIDONSQL_APPFVT_01_SQLFacturasRendidas[[#This Row],[usu_codigo]]="","",1)</f>
        <v>1</v>
      </c>
    </row>
    <row r="265" spans="1:10" x14ac:dyDescent="0.25">
      <c r="A265">
        <v>1</v>
      </c>
      <c r="B265">
        <v>3</v>
      </c>
      <c r="C265" t="s">
        <v>81</v>
      </c>
      <c r="D265" t="s">
        <v>15</v>
      </c>
      <c r="E265" t="s">
        <v>56</v>
      </c>
      <c r="F265">
        <v>93527</v>
      </c>
      <c r="G265">
        <f>+YEAR(Tabla__192.168.1.8_POSEIDONSQL_APPFVT_01_SQLFacturasRendidas[[#This Row],[f_facturacion]])</f>
        <v>2018</v>
      </c>
      <c r="H26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265">
        <f>+IF(Tabla__192.168.1.8_POSEIDONSQL_APPFVT_01_SQLFacturasRendidas[[#This Row],[epc_nombre]]="RENDIDA",1,0)</f>
        <v>1</v>
      </c>
      <c r="J265">
        <f>+IF(Tabla__192.168.1.8_POSEIDONSQL_APPFVT_01_SQLFacturasRendidas[[#This Row],[usu_codigo]]="","",1)</f>
        <v>1</v>
      </c>
    </row>
    <row r="266" spans="1:10" x14ac:dyDescent="0.25">
      <c r="A266">
        <v>1</v>
      </c>
      <c r="B266">
        <v>3</v>
      </c>
      <c r="C266" t="s">
        <v>81</v>
      </c>
      <c r="D266" t="s">
        <v>15</v>
      </c>
      <c r="E266" t="s">
        <v>56</v>
      </c>
      <c r="F266">
        <v>93528</v>
      </c>
      <c r="G266">
        <f>+YEAR(Tabla__192.168.1.8_POSEIDONSQL_APPFVT_01_SQLFacturasRendidas[[#This Row],[f_facturacion]])</f>
        <v>2018</v>
      </c>
      <c r="H26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266">
        <f>+IF(Tabla__192.168.1.8_POSEIDONSQL_APPFVT_01_SQLFacturasRendidas[[#This Row],[epc_nombre]]="RENDIDA",1,0)</f>
        <v>1</v>
      </c>
      <c r="J266">
        <f>+IF(Tabla__192.168.1.8_POSEIDONSQL_APPFVT_01_SQLFacturasRendidas[[#This Row],[usu_codigo]]="","",1)</f>
        <v>1</v>
      </c>
    </row>
    <row r="267" spans="1:10" x14ac:dyDescent="0.25">
      <c r="A267">
        <v>1</v>
      </c>
      <c r="B267">
        <v>3</v>
      </c>
      <c r="C267" t="s">
        <v>81</v>
      </c>
      <c r="D267" t="s">
        <v>15</v>
      </c>
      <c r="E267" t="s">
        <v>56</v>
      </c>
      <c r="F267">
        <v>93529</v>
      </c>
      <c r="G267">
        <f>+YEAR(Tabla__192.168.1.8_POSEIDONSQL_APPFVT_01_SQLFacturasRendidas[[#This Row],[f_facturacion]])</f>
        <v>2018</v>
      </c>
      <c r="H26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267">
        <f>+IF(Tabla__192.168.1.8_POSEIDONSQL_APPFVT_01_SQLFacturasRendidas[[#This Row],[epc_nombre]]="RENDIDA",1,0)</f>
        <v>1</v>
      </c>
      <c r="J267">
        <f>+IF(Tabla__192.168.1.8_POSEIDONSQL_APPFVT_01_SQLFacturasRendidas[[#This Row],[usu_codigo]]="","",1)</f>
        <v>1</v>
      </c>
    </row>
    <row r="268" spans="1:10" x14ac:dyDescent="0.25">
      <c r="A268">
        <v>1</v>
      </c>
      <c r="B268">
        <v>3</v>
      </c>
      <c r="C268" t="s">
        <v>81</v>
      </c>
      <c r="D268" t="s">
        <v>15</v>
      </c>
      <c r="E268" t="s">
        <v>33</v>
      </c>
      <c r="F268">
        <v>93580</v>
      </c>
      <c r="G268">
        <f>+YEAR(Tabla__192.168.1.8_POSEIDONSQL_APPFVT_01_SQLFacturasRendidas[[#This Row],[f_facturacion]])</f>
        <v>2018</v>
      </c>
      <c r="H26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268">
        <f>+IF(Tabla__192.168.1.8_POSEIDONSQL_APPFVT_01_SQLFacturasRendidas[[#This Row],[epc_nombre]]="RENDIDA",1,0)</f>
        <v>1</v>
      </c>
      <c r="J268">
        <f>+IF(Tabla__192.168.1.8_POSEIDONSQL_APPFVT_01_SQLFacturasRendidas[[#This Row],[usu_codigo]]="","",1)</f>
        <v>1</v>
      </c>
    </row>
    <row r="269" spans="1:10" x14ac:dyDescent="0.25">
      <c r="A269">
        <v>1</v>
      </c>
      <c r="B269">
        <v>3</v>
      </c>
      <c r="C269" t="s">
        <v>81</v>
      </c>
      <c r="D269" t="s">
        <v>15</v>
      </c>
      <c r="E269" t="s">
        <v>33</v>
      </c>
      <c r="F269">
        <v>93581</v>
      </c>
      <c r="G269">
        <f>+YEAR(Tabla__192.168.1.8_POSEIDONSQL_APPFVT_01_SQLFacturasRendidas[[#This Row],[f_facturacion]])</f>
        <v>2018</v>
      </c>
      <c r="H26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269">
        <f>+IF(Tabla__192.168.1.8_POSEIDONSQL_APPFVT_01_SQLFacturasRendidas[[#This Row],[epc_nombre]]="RENDIDA",1,0)</f>
        <v>1</v>
      </c>
      <c r="J269">
        <f>+IF(Tabla__192.168.1.8_POSEIDONSQL_APPFVT_01_SQLFacturasRendidas[[#This Row],[usu_codigo]]="","",1)</f>
        <v>1</v>
      </c>
    </row>
    <row r="270" spans="1:10" x14ac:dyDescent="0.25">
      <c r="A270">
        <v>1</v>
      </c>
      <c r="B270">
        <v>3</v>
      </c>
      <c r="C270" t="s">
        <v>81</v>
      </c>
      <c r="D270" t="s">
        <v>15</v>
      </c>
      <c r="E270" t="s">
        <v>33</v>
      </c>
      <c r="F270">
        <v>93582</v>
      </c>
      <c r="G270">
        <f>+YEAR(Tabla__192.168.1.8_POSEIDONSQL_APPFVT_01_SQLFacturasRendidas[[#This Row],[f_facturacion]])</f>
        <v>2018</v>
      </c>
      <c r="H27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270">
        <f>+IF(Tabla__192.168.1.8_POSEIDONSQL_APPFVT_01_SQLFacturasRendidas[[#This Row],[epc_nombre]]="RENDIDA",1,0)</f>
        <v>1</v>
      </c>
      <c r="J270">
        <f>+IF(Tabla__192.168.1.8_POSEIDONSQL_APPFVT_01_SQLFacturasRendidas[[#This Row],[usu_codigo]]="","",1)</f>
        <v>1</v>
      </c>
    </row>
    <row r="271" spans="1:10" x14ac:dyDescent="0.25">
      <c r="A271">
        <v>1</v>
      </c>
      <c r="B271">
        <v>3</v>
      </c>
      <c r="C271" t="s">
        <v>81</v>
      </c>
      <c r="D271" t="s">
        <v>15</v>
      </c>
      <c r="E271" t="s">
        <v>33</v>
      </c>
      <c r="F271">
        <v>93583</v>
      </c>
      <c r="G271">
        <f>+YEAR(Tabla__192.168.1.8_POSEIDONSQL_APPFVT_01_SQLFacturasRendidas[[#This Row],[f_facturacion]])</f>
        <v>2018</v>
      </c>
      <c r="H27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271">
        <f>+IF(Tabla__192.168.1.8_POSEIDONSQL_APPFVT_01_SQLFacturasRendidas[[#This Row],[epc_nombre]]="RENDIDA",1,0)</f>
        <v>1</v>
      </c>
      <c r="J271">
        <f>+IF(Tabla__192.168.1.8_POSEIDONSQL_APPFVT_01_SQLFacturasRendidas[[#This Row],[usu_codigo]]="","",1)</f>
        <v>1</v>
      </c>
    </row>
    <row r="272" spans="1:10" x14ac:dyDescent="0.25">
      <c r="A272">
        <v>1</v>
      </c>
      <c r="B272">
        <v>3</v>
      </c>
      <c r="C272" t="s">
        <v>81</v>
      </c>
      <c r="D272" t="s">
        <v>15</v>
      </c>
      <c r="E272" t="s">
        <v>33</v>
      </c>
      <c r="F272">
        <v>93585</v>
      </c>
      <c r="G272">
        <f>+YEAR(Tabla__192.168.1.8_POSEIDONSQL_APPFVT_01_SQLFacturasRendidas[[#This Row],[f_facturacion]])</f>
        <v>2018</v>
      </c>
      <c r="H27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272">
        <f>+IF(Tabla__192.168.1.8_POSEIDONSQL_APPFVT_01_SQLFacturasRendidas[[#This Row],[epc_nombre]]="RENDIDA",1,0)</f>
        <v>1</v>
      </c>
      <c r="J272">
        <f>+IF(Tabla__192.168.1.8_POSEIDONSQL_APPFVT_01_SQLFacturasRendidas[[#This Row],[usu_codigo]]="","",1)</f>
        <v>1</v>
      </c>
    </row>
    <row r="273" spans="1:10" x14ac:dyDescent="0.25">
      <c r="A273">
        <v>1</v>
      </c>
      <c r="B273">
        <v>3</v>
      </c>
      <c r="C273" t="s">
        <v>81</v>
      </c>
      <c r="D273" t="s">
        <v>15</v>
      </c>
      <c r="E273" t="s">
        <v>33</v>
      </c>
      <c r="F273">
        <v>93586</v>
      </c>
      <c r="G273">
        <f>+YEAR(Tabla__192.168.1.8_POSEIDONSQL_APPFVT_01_SQLFacturasRendidas[[#This Row],[f_facturacion]])</f>
        <v>2018</v>
      </c>
      <c r="H27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273">
        <f>+IF(Tabla__192.168.1.8_POSEIDONSQL_APPFVT_01_SQLFacturasRendidas[[#This Row],[epc_nombre]]="RENDIDA",1,0)</f>
        <v>1</v>
      </c>
      <c r="J273">
        <f>+IF(Tabla__192.168.1.8_POSEIDONSQL_APPFVT_01_SQLFacturasRendidas[[#This Row],[usu_codigo]]="","",1)</f>
        <v>1</v>
      </c>
    </row>
    <row r="274" spans="1:10" x14ac:dyDescent="0.25">
      <c r="A274">
        <v>1</v>
      </c>
      <c r="B274">
        <v>3</v>
      </c>
      <c r="C274" t="s">
        <v>81</v>
      </c>
      <c r="D274" t="s">
        <v>15</v>
      </c>
      <c r="E274" t="s">
        <v>33</v>
      </c>
      <c r="F274">
        <v>93587</v>
      </c>
      <c r="G274">
        <f>+YEAR(Tabla__192.168.1.8_POSEIDONSQL_APPFVT_01_SQLFacturasRendidas[[#This Row],[f_facturacion]])</f>
        <v>2018</v>
      </c>
      <c r="H27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274">
        <f>+IF(Tabla__192.168.1.8_POSEIDONSQL_APPFVT_01_SQLFacturasRendidas[[#This Row],[epc_nombre]]="RENDIDA",1,0)</f>
        <v>1</v>
      </c>
      <c r="J274">
        <f>+IF(Tabla__192.168.1.8_POSEIDONSQL_APPFVT_01_SQLFacturasRendidas[[#This Row],[usu_codigo]]="","",1)</f>
        <v>1</v>
      </c>
    </row>
    <row r="275" spans="1:10" x14ac:dyDescent="0.25">
      <c r="A275">
        <v>1</v>
      </c>
      <c r="B275">
        <v>3</v>
      </c>
      <c r="C275" t="s">
        <v>81</v>
      </c>
      <c r="D275" t="s">
        <v>15</v>
      </c>
      <c r="E275" t="s">
        <v>59</v>
      </c>
      <c r="F275">
        <v>93775</v>
      </c>
      <c r="G275">
        <f>+YEAR(Tabla__192.168.1.8_POSEIDONSQL_APPFVT_01_SQLFacturasRendidas[[#This Row],[f_facturacion]])</f>
        <v>2018</v>
      </c>
      <c r="H27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275">
        <f>+IF(Tabla__192.168.1.8_POSEIDONSQL_APPFVT_01_SQLFacturasRendidas[[#This Row],[epc_nombre]]="RENDIDA",1,0)</f>
        <v>1</v>
      </c>
      <c r="J275">
        <f>+IF(Tabla__192.168.1.8_POSEIDONSQL_APPFVT_01_SQLFacturasRendidas[[#This Row],[usu_codigo]]="","",1)</f>
        <v>1</v>
      </c>
    </row>
    <row r="276" spans="1:10" x14ac:dyDescent="0.25">
      <c r="A276">
        <v>1</v>
      </c>
      <c r="B276">
        <v>3</v>
      </c>
      <c r="C276" t="s">
        <v>81</v>
      </c>
      <c r="D276" t="s">
        <v>15</v>
      </c>
      <c r="E276" t="s">
        <v>59</v>
      </c>
      <c r="F276">
        <v>93776</v>
      </c>
      <c r="G276">
        <f>+YEAR(Tabla__192.168.1.8_POSEIDONSQL_APPFVT_01_SQLFacturasRendidas[[#This Row],[f_facturacion]])</f>
        <v>2018</v>
      </c>
      <c r="H27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276">
        <f>+IF(Tabla__192.168.1.8_POSEIDONSQL_APPFVT_01_SQLFacturasRendidas[[#This Row],[epc_nombre]]="RENDIDA",1,0)</f>
        <v>1</v>
      </c>
      <c r="J276">
        <f>+IF(Tabla__192.168.1.8_POSEIDONSQL_APPFVT_01_SQLFacturasRendidas[[#This Row],[usu_codigo]]="","",1)</f>
        <v>1</v>
      </c>
    </row>
    <row r="277" spans="1:10" x14ac:dyDescent="0.25">
      <c r="A277">
        <v>1</v>
      </c>
      <c r="B277">
        <v>3</v>
      </c>
      <c r="C277" t="s">
        <v>81</v>
      </c>
      <c r="D277" t="s">
        <v>15</v>
      </c>
      <c r="E277" t="s">
        <v>59</v>
      </c>
      <c r="F277">
        <v>93777</v>
      </c>
      <c r="G277">
        <f>+YEAR(Tabla__192.168.1.8_POSEIDONSQL_APPFVT_01_SQLFacturasRendidas[[#This Row],[f_facturacion]])</f>
        <v>2018</v>
      </c>
      <c r="H27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277">
        <f>+IF(Tabla__192.168.1.8_POSEIDONSQL_APPFVT_01_SQLFacturasRendidas[[#This Row],[epc_nombre]]="RENDIDA",1,0)</f>
        <v>1</v>
      </c>
      <c r="J277">
        <f>+IF(Tabla__192.168.1.8_POSEIDONSQL_APPFVT_01_SQLFacturasRendidas[[#This Row],[usu_codigo]]="","",1)</f>
        <v>1</v>
      </c>
    </row>
    <row r="278" spans="1:10" x14ac:dyDescent="0.25">
      <c r="A278">
        <v>1</v>
      </c>
      <c r="B278">
        <v>3</v>
      </c>
      <c r="C278" t="s">
        <v>81</v>
      </c>
      <c r="D278" t="s">
        <v>15</v>
      </c>
      <c r="E278" t="s">
        <v>61</v>
      </c>
      <c r="F278">
        <v>93839</v>
      </c>
      <c r="G278">
        <f>+YEAR(Tabla__192.168.1.8_POSEIDONSQL_APPFVT_01_SQLFacturasRendidas[[#This Row],[f_facturacion]])</f>
        <v>2018</v>
      </c>
      <c r="H27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278">
        <f>+IF(Tabla__192.168.1.8_POSEIDONSQL_APPFVT_01_SQLFacturasRendidas[[#This Row],[epc_nombre]]="RENDIDA",1,0)</f>
        <v>1</v>
      </c>
      <c r="J278">
        <f>+IF(Tabla__192.168.1.8_POSEIDONSQL_APPFVT_01_SQLFacturasRendidas[[#This Row],[usu_codigo]]="","",1)</f>
        <v>1</v>
      </c>
    </row>
    <row r="279" spans="1:10" x14ac:dyDescent="0.25">
      <c r="A279">
        <v>1</v>
      </c>
      <c r="B279">
        <v>3</v>
      </c>
      <c r="C279" t="s">
        <v>81</v>
      </c>
      <c r="D279" t="s">
        <v>15</v>
      </c>
      <c r="E279" t="s">
        <v>61</v>
      </c>
      <c r="F279">
        <v>93840</v>
      </c>
      <c r="G279">
        <f>+YEAR(Tabla__192.168.1.8_POSEIDONSQL_APPFVT_01_SQLFacturasRendidas[[#This Row],[f_facturacion]])</f>
        <v>2018</v>
      </c>
      <c r="H27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279">
        <f>+IF(Tabla__192.168.1.8_POSEIDONSQL_APPFVT_01_SQLFacturasRendidas[[#This Row],[epc_nombre]]="RENDIDA",1,0)</f>
        <v>1</v>
      </c>
      <c r="J279">
        <f>+IF(Tabla__192.168.1.8_POSEIDONSQL_APPFVT_01_SQLFacturasRendidas[[#This Row],[usu_codigo]]="","",1)</f>
        <v>1</v>
      </c>
    </row>
    <row r="280" spans="1:10" x14ac:dyDescent="0.25">
      <c r="A280">
        <v>1</v>
      </c>
      <c r="B280">
        <v>3</v>
      </c>
      <c r="C280" t="s">
        <v>81</v>
      </c>
      <c r="D280" t="s">
        <v>15</v>
      </c>
      <c r="E280" t="s">
        <v>61</v>
      </c>
      <c r="F280">
        <v>93841</v>
      </c>
      <c r="G280">
        <f>+YEAR(Tabla__192.168.1.8_POSEIDONSQL_APPFVT_01_SQLFacturasRendidas[[#This Row],[f_facturacion]])</f>
        <v>2018</v>
      </c>
      <c r="H28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280">
        <f>+IF(Tabla__192.168.1.8_POSEIDONSQL_APPFVT_01_SQLFacturasRendidas[[#This Row],[epc_nombre]]="RENDIDA",1,0)</f>
        <v>1</v>
      </c>
      <c r="J280">
        <f>+IF(Tabla__192.168.1.8_POSEIDONSQL_APPFVT_01_SQLFacturasRendidas[[#This Row],[usu_codigo]]="","",1)</f>
        <v>1</v>
      </c>
    </row>
    <row r="281" spans="1:10" x14ac:dyDescent="0.25">
      <c r="A281">
        <v>1</v>
      </c>
      <c r="B281">
        <v>3</v>
      </c>
      <c r="C281" t="s">
        <v>81</v>
      </c>
      <c r="D281" t="s">
        <v>15</v>
      </c>
      <c r="E281" t="s">
        <v>61</v>
      </c>
      <c r="F281">
        <v>93842</v>
      </c>
      <c r="G281">
        <f>+YEAR(Tabla__192.168.1.8_POSEIDONSQL_APPFVT_01_SQLFacturasRendidas[[#This Row],[f_facturacion]])</f>
        <v>2018</v>
      </c>
      <c r="H28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281">
        <f>+IF(Tabla__192.168.1.8_POSEIDONSQL_APPFVT_01_SQLFacturasRendidas[[#This Row],[epc_nombre]]="RENDIDA",1,0)</f>
        <v>1</v>
      </c>
      <c r="J281">
        <f>+IF(Tabla__192.168.1.8_POSEIDONSQL_APPFVT_01_SQLFacturasRendidas[[#This Row],[usu_codigo]]="","",1)</f>
        <v>1</v>
      </c>
    </row>
    <row r="282" spans="1:10" x14ac:dyDescent="0.25">
      <c r="A282">
        <v>1</v>
      </c>
      <c r="B282">
        <v>3</v>
      </c>
      <c r="C282" t="s">
        <v>81</v>
      </c>
      <c r="D282" t="s">
        <v>15</v>
      </c>
      <c r="E282" t="s">
        <v>61</v>
      </c>
      <c r="F282">
        <v>93843</v>
      </c>
      <c r="G282">
        <f>+YEAR(Tabla__192.168.1.8_POSEIDONSQL_APPFVT_01_SQLFacturasRendidas[[#This Row],[f_facturacion]])</f>
        <v>2018</v>
      </c>
      <c r="H28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282">
        <f>+IF(Tabla__192.168.1.8_POSEIDONSQL_APPFVT_01_SQLFacturasRendidas[[#This Row],[epc_nombre]]="RENDIDA",1,0)</f>
        <v>1</v>
      </c>
      <c r="J282">
        <f>+IF(Tabla__192.168.1.8_POSEIDONSQL_APPFVT_01_SQLFacturasRendidas[[#This Row],[usu_codigo]]="","",1)</f>
        <v>1</v>
      </c>
    </row>
    <row r="283" spans="1:10" x14ac:dyDescent="0.25">
      <c r="A283">
        <v>1</v>
      </c>
      <c r="B283">
        <v>3</v>
      </c>
      <c r="C283" t="s">
        <v>81</v>
      </c>
      <c r="D283" t="s">
        <v>15</v>
      </c>
      <c r="E283" t="s">
        <v>61</v>
      </c>
      <c r="F283">
        <v>93844</v>
      </c>
      <c r="G283">
        <f>+YEAR(Tabla__192.168.1.8_POSEIDONSQL_APPFVT_01_SQLFacturasRendidas[[#This Row],[f_facturacion]])</f>
        <v>2018</v>
      </c>
      <c r="H28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283">
        <f>+IF(Tabla__192.168.1.8_POSEIDONSQL_APPFVT_01_SQLFacturasRendidas[[#This Row],[epc_nombre]]="RENDIDA",1,0)</f>
        <v>1</v>
      </c>
      <c r="J283">
        <f>+IF(Tabla__192.168.1.8_POSEIDONSQL_APPFVT_01_SQLFacturasRendidas[[#This Row],[usu_codigo]]="","",1)</f>
        <v>1</v>
      </c>
    </row>
    <row r="284" spans="1:10" x14ac:dyDescent="0.25">
      <c r="A284">
        <v>1</v>
      </c>
      <c r="B284">
        <v>3</v>
      </c>
      <c r="C284" t="s">
        <v>81</v>
      </c>
      <c r="D284" t="s">
        <v>15</v>
      </c>
      <c r="E284" t="s">
        <v>61</v>
      </c>
      <c r="F284">
        <v>93845</v>
      </c>
      <c r="G284">
        <f>+YEAR(Tabla__192.168.1.8_POSEIDONSQL_APPFVT_01_SQLFacturasRendidas[[#This Row],[f_facturacion]])</f>
        <v>2018</v>
      </c>
      <c r="H28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284">
        <f>+IF(Tabla__192.168.1.8_POSEIDONSQL_APPFVT_01_SQLFacturasRendidas[[#This Row],[epc_nombre]]="RENDIDA",1,0)</f>
        <v>1</v>
      </c>
      <c r="J284">
        <f>+IF(Tabla__192.168.1.8_POSEIDONSQL_APPFVT_01_SQLFacturasRendidas[[#This Row],[usu_codigo]]="","",1)</f>
        <v>1</v>
      </c>
    </row>
    <row r="285" spans="1:10" x14ac:dyDescent="0.25">
      <c r="A285">
        <v>1</v>
      </c>
      <c r="B285">
        <v>3</v>
      </c>
      <c r="C285" t="s">
        <v>81</v>
      </c>
      <c r="D285" t="s">
        <v>15</v>
      </c>
      <c r="E285" t="s">
        <v>61</v>
      </c>
      <c r="F285">
        <v>93846</v>
      </c>
      <c r="G285">
        <f>+YEAR(Tabla__192.168.1.8_POSEIDONSQL_APPFVT_01_SQLFacturasRendidas[[#This Row],[f_facturacion]])</f>
        <v>2018</v>
      </c>
      <c r="H28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285">
        <f>+IF(Tabla__192.168.1.8_POSEIDONSQL_APPFVT_01_SQLFacturasRendidas[[#This Row],[epc_nombre]]="RENDIDA",1,0)</f>
        <v>1</v>
      </c>
      <c r="J285">
        <f>+IF(Tabla__192.168.1.8_POSEIDONSQL_APPFVT_01_SQLFacturasRendidas[[#This Row],[usu_codigo]]="","",1)</f>
        <v>1</v>
      </c>
    </row>
    <row r="286" spans="1:10" x14ac:dyDescent="0.25">
      <c r="A286">
        <v>1</v>
      </c>
      <c r="B286">
        <v>3</v>
      </c>
      <c r="C286" t="s">
        <v>81</v>
      </c>
      <c r="D286" t="s">
        <v>15</v>
      </c>
      <c r="E286" t="s">
        <v>61</v>
      </c>
      <c r="F286">
        <v>93847</v>
      </c>
      <c r="G286">
        <f>+YEAR(Tabla__192.168.1.8_POSEIDONSQL_APPFVT_01_SQLFacturasRendidas[[#This Row],[f_facturacion]])</f>
        <v>2018</v>
      </c>
      <c r="H28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286">
        <f>+IF(Tabla__192.168.1.8_POSEIDONSQL_APPFVT_01_SQLFacturasRendidas[[#This Row],[epc_nombre]]="RENDIDA",1,0)</f>
        <v>1</v>
      </c>
      <c r="J286">
        <f>+IF(Tabla__192.168.1.8_POSEIDONSQL_APPFVT_01_SQLFacturasRendidas[[#This Row],[usu_codigo]]="","",1)</f>
        <v>1</v>
      </c>
    </row>
    <row r="287" spans="1:10" x14ac:dyDescent="0.25">
      <c r="A287">
        <v>1</v>
      </c>
      <c r="B287">
        <v>3</v>
      </c>
      <c r="C287" t="s">
        <v>81</v>
      </c>
      <c r="D287" t="s">
        <v>15</v>
      </c>
      <c r="E287" t="s">
        <v>61</v>
      </c>
      <c r="F287">
        <v>93848</v>
      </c>
      <c r="G287">
        <f>+YEAR(Tabla__192.168.1.8_POSEIDONSQL_APPFVT_01_SQLFacturasRendidas[[#This Row],[f_facturacion]])</f>
        <v>2018</v>
      </c>
      <c r="H28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287">
        <f>+IF(Tabla__192.168.1.8_POSEIDONSQL_APPFVT_01_SQLFacturasRendidas[[#This Row],[epc_nombre]]="RENDIDA",1,0)</f>
        <v>1</v>
      </c>
      <c r="J287">
        <f>+IF(Tabla__192.168.1.8_POSEIDONSQL_APPFVT_01_SQLFacturasRendidas[[#This Row],[usu_codigo]]="","",1)</f>
        <v>1</v>
      </c>
    </row>
    <row r="288" spans="1:10" x14ac:dyDescent="0.25">
      <c r="A288">
        <v>1</v>
      </c>
      <c r="B288">
        <v>3</v>
      </c>
      <c r="C288" t="s">
        <v>81</v>
      </c>
      <c r="D288" t="s">
        <v>15</v>
      </c>
      <c r="E288" t="s">
        <v>61</v>
      </c>
      <c r="F288">
        <v>93849</v>
      </c>
      <c r="G288">
        <f>+YEAR(Tabla__192.168.1.8_POSEIDONSQL_APPFVT_01_SQLFacturasRendidas[[#This Row],[f_facturacion]])</f>
        <v>2018</v>
      </c>
      <c r="H28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288">
        <f>+IF(Tabla__192.168.1.8_POSEIDONSQL_APPFVT_01_SQLFacturasRendidas[[#This Row],[epc_nombre]]="RENDIDA",1,0)</f>
        <v>1</v>
      </c>
      <c r="J288">
        <f>+IF(Tabla__192.168.1.8_POSEIDONSQL_APPFVT_01_SQLFacturasRendidas[[#This Row],[usu_codigo]]="","",1)</f>
        <v>1</v>
      </c>
    </row>
    <row r="289" spans="1:10" x14ac:dyDescent="0.25">
      <c r="A289">
        <v>1</v>
      </c>
      <c r="B289">
        <v>3</v>
      </c>
      <c r="C289" t="s">
        <v>81</v>
      </c>
      <c r="D289" t="s">
        <v>15</v>
      </c>
      <c r="E289" t="s">
        <v>61</v>
      </c>
      <c r="F289">
        <v>93850</v>
      </c>
      <c r="G289">
        <f>+YEAR(Tabla__192.168.1.8_POSEIDONSQL_APPFVT_01_SQLFacturasRendidas[[#This Row],[f_facturacion]])</f>
        <v>2018</v>
      </c>
      <c r="H28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289">
        <f>+IF(Tabla__192.168.1.8_POSEIDONSQL_APPFVT_01_SQLFacturasRendidas[[#This Row],[epc_nombre]]="RENDIDA",1,0)</f>
        <v>1</v>
      </c>
      <c r="J289">
        <f>+IF(Tabla__192.168.1.8_POSEIDONSQL_APPFVT_01_SQLFacturasRendidas[[#This Row],[usu_codigo]]="","",1)</f>
        <v>1</v>
      </c>
    </row>
    <row r="290" spans="1:10" x14ac:dyDescent="0.25">
      <c r="A290">
        <v>1</v>
      </c>
      <c r="B290">
        <v>3</v>
      </c>
      <c r="C290" t="s">
        <v>81</v>
      </c>
      <c r="D290" t="s">
        <v>15</v>
      </c>
      <c r="E290" t="s">
        <v>61</v>
      </c>
      <c r="F290">
        <v>93851</v>
      </c>
      <c r="G290">
        <f>+YEAR(Tabla__192.168.1.8_POSEIDONSQL_APPFVT_01_SQLFacturasRendidas[[#This Row],[f_facturacion]])</f>
        <v>2018</v>
      </c>
      <c r="H29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290">
        <f>+IF(Tabla__192.168.1.8_POSEIDONSQL_APPFVT_01_SQLFacturasRendidas[[#This Row],[epc_nombre]]="RENDIDA",1,0)</f>
        <v>1</v>
      </c>
      <c r="J290">
        <f>+IF(Tabla__192.168.1.8_POSEIDONSQL_APPFVT_01_SQLFacturasRendidas[[#This Row],[usu_codigo]]="","",1)</f>
        <v>1</v>
      </c>
    </row>
    <row r="291" spans="1:10" x14ac:dyDescent="0.25">
      <c r="A291">
        <v>1</v>
      </c>
      <c r="B291">
        <v>3</v>
      </c>
      <c r="C291" t="s">
        <v>81</v>
      </c>
      <c r="D291" t="s">
        <v>15</v>
      </c>
      <c r="E291" t="s">
        <v>61</v>
      </c>
      <c r="F291">
        <v>93852</v>
      </c>
      <c r="G291">
        <f>+YEAR(Tabla__192.168.1.8_POSEIDONSQL_APPFVT_01_SQLFacturasRendidas[[#This Row],[f_facturacion]])</f>
        <v>2018</v>
      </c>
      <c r="H29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291">
        <f>+IF(Tabla__192.168.1.8_POSEIDONSQL_APPFVT_01_SQLFacturasRendidas[[#This Row],[epc_nombre]]="RENDIDA",1,0)</f>
        <v>1</v>
      </c>
      <c r="J291">
        <f>+IF(Tabla__192.168.1.8_POSEIDONSQL_APPFVT_01_SQLFacturasRendidas[[#This Row],[usu_codigo]]="","",1)</f>
        <v>1</v>
      </c>
    </row>
    <row r="292" spans="1:10" x14ac:dyDescent="0.25">
      <c r="A292">
        <v>1</v>
      </c>
      <c r="B292">
        <v>3</v>
      </c>
      <c r="C292" t="s">
        <v>81</v>
      </c>
      <c r="D292" t="s">
        <v>15</v>
      </c>
      <c r="E292" t="s">
        <v>61</v>
      </c>
      <c r="F292">
        <v>93853</v>
      </c>
      <c r="G292">
        <f>+YEAR(Tabla__192.168.1.8_POSEIDONSQL_APPFVT_01_SQLFacturasRendidas[[#This Row],[f_facturacion]])</f>
        <v>2018</v>
      </c>
      <c r="H29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292">
        <f>+IF(Tabla__192.168.1.8_POSEIDONSQL_APPFVT_01_SQLFacturasRendidas[[#This Row],[epc_nombre]]="RENDIDA",1,0)</f>
        <v>1</v>
      </c>
      <c r="J292">
        <f>+IF(Tabla__192.168.1.8_POSEIDONSQL_APPFVT_01_SQLFacturasRendidas[[#This Row],[usu_codigo]]="","",1)</f>
        <v>1</v>
      </c>
    </row>
    <row r="293" spans="1:10" x14ac:dyDescent="0.25">
      <c r="A293">
        <v>1</v>
      </c>
      <c r="B293">
        <v>3</v>
      </c>
      <c r="C293" t="s">
        <v>81</v>
      </c>
      <c r="D293" t="s">
        <v>15</v>
      </c>
      <c r="E293" t="s">
        <v>61</v>
      </c>
      <c r="F293">
        <v>93854</v>
      </c>
      <c r="G293">
        <f>+YEAR(Tabla__192.168.1.8_POSEIDONSQL_APPFVT_01_SQLFacturasRendidas[[#This Row],[f_facturacion]])</f>
        <v>2018</v>
      </c>
      <c r="H29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293">
        <f>+IF(Tabla__192.168.1.8_POSEIDONSQL_APPFVT_01_SQLFacturasRendidas[[#This Row],[epc_nombre]]="RENDIDA",1,0)</f>
        <v>1</v>
      </c>
      <c r="J293">
        <f>+IF(Tabla__192.168.1.8_POSEIDONSQL_APPFVT_01_SQLFacturasRendidas[[#This Row],[usu_codigo]]="","",1)</f>
        <v>1</v>
      </c>
    </row>
    <row r="294" spans="1:10" x14ac:dyDescent="0.25">
      <c r="A294">
        <v>1</v>
      </c>
      <c r="B294">
        <v>3</v>
      </c>
      <c r="C294" t="s">
        <v>81</v>
      </c>
      <c r="D294" t="s">
        <v>15</v>
      </c>
      <c r="E294" t="s">
        <v>63</v>
      </c>
      <c r="F294">
        <v>93875</v>
      </c>
      <c r="G294">
        <f>+YEAR(Tabla__192.168.1.8_POSEIDONSQL_APPFVT_01_SQLFacturasRendidas[[#This Row],[f_facturacion]])</f>
        <v>2018</v>
      </c>
      <c r="H29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294">
        <f>+IF(Tabla__192.168.1.8_POSEIDONSQL_APPFVT_01_SQLFacturasRendidas[[#This Row],[epc_nombre]]="RENDIDA",1,0)</f>
        <v>1</v>
      </c>
      <c r="J294">
        <f>+IF(Tabla__192.168.1.8_POSEIDONSQL_APPFVT_01_SQLFacturasRendidas[[#This Row],[usu_codigo]]="","",1)</f>
        <v>1</v>
      </c>
    </row>
    <row r="295" spans="1:10" x14ac:dyDescent="0.25">
      <c r="A295">
        <v>1</v>
      </c>
      <c r="B295">
        <v>3</v>
      </c>
      <c r="C295" t="s">
        <v>81</v>
      </c>
      <c r="D295" t="s">
        <v>15</v>
      </c>
      <c r="E295" t="s">
        <v>63</v>
      </c>
      <c r="F295">
        <v>93876</v>
      </c>
      <c r="G295">
        <f>+YEAR(Tabla__192.168.1.8_POSEIDONSQL_APPFVT_01_SQLFacturasRendidas[[#This Row],[f_facturacion]])</f>
        <v>2018</v>
      </c>
      <c r="H29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295">
        <f>+IF(Tabla__192.168.1.8_POSEIDONSQL_APPFVT_01_SQLFacturasRendidas[[#This Row],[epc_nombre]]="RENDIDA",1,0)</f>
        <v>1</v>
      </c>
      <c r="J295">
        <f>+IF(Tabla__192.168.1.8_POSEIDONSQL_APPFVT_01_SQLFacturasRendidas[[#This Row],[usu_codigo]]="","",1)</f>
        <v>1</v>
      </c>
    </row>
    <row r="296" spans="1:10" x14ac:dyDescent="0.25">
      <c r="A296">
        <v>1</v>
      </c>
      <c r="B296">
        <v>3</v>
      </c>
      <c r="C296" t="s">
        <v>81</v>
      </c>
      <c r="D296" t="s">
        <v>15</v>
      </c>
      <c r="E296" t="s">
        <v>63</v>
      </c>
      <c r="F296">
        <v>93877</v>
      </c>
      <c r="G296">
        <f>+YEAR(Tabla__192.168.1.8_POSEIDONSQL_APPFVT_01_SQLFacturasRendidas[[#This Row],[f_facturacion]])</f>
        <v>2018</v>
      </c>
      <c r="H29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296">
        <f>+IF(Tabla__192.168.1.8_POSEIDONSQL_APPFVT_01_SQLFacturasRendidas[[#This Row],[epc_nombre]]="RENDIDA",1,0)</f>
        <v>1</v>
      </c>
      <c r="J296">
        <f>+IF(Tabla__192.168.1.8_POSEIDONSQL_APPFVT_01_SQLFacturasRendidas[[#This Row],[usu_codigo]]="","",1)</f>
        <v>1</v>
      </c>
    </row>
    <row r="297" spans="1:10" x14ac:dyDescent="0.25">
      <c r="A297">
        <v>1</v>
      </c>
      <c r="B297">
        <v>3</v>
      </c>
      <c r="C297" t="s">
        <v>81</v>
      </c>
      <c r="D297" t="s">
        <v>15</v>
      </c>
      <c r="E297" t="s">
        <v>63</v>
      </c>
      <c r="F297">
        <v>93878</v>
      </c>
      <c r="G297">
        <f>+YEAR(Tabla__192.168.1.8_POSEIDONSQL_APPFVT_01_SQLFacturasRendidas[[#This Row],[f_facturacion]])</f>
        <v>2018</v>
      </c>
      <c r="H29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297">
        <f>+IF(Tabla__192.168.1.8_POSEIDONSQL_APPFVT_01_SQLFacturasRendidas[[#This Row],[epc_nombre]]="RENDIDA",1,0)</f>
        <v>1</v>
      </c>
      <c r="J297">
        <f>+IF(Tabla__192.168.1.8_POSEIDONSQL_APPFVT_01_SQLFacturasRendidas[[#This Row],[usu_codigo]]="","",1)</f>
        <v>1</v>
      </c>
    </row>
    <row r="298" spans="1:10" x14ac:dyDescent="0.25">
      <c r="A298">
        <v>1</v>
      </c>
      <c r="B298">
        <v>3</v>
      </c>
      <c r="C298" t="s">
        <v>81</v>
      </c>
      <c r="D298" t="s">
        <v>15</v>
      </c>
      <c r="E298" t="s">
        <v>63</v>
      </c>
      <c r="F298">
        <v>93879</v>
      </c>
      <c r="G298">
        <f>+YEAR(Tabla__192.168.1.8_POSEIDONSQL_APPFVT_01_SQLFacturasRendidas[[#This Row],[f_facturacion]])</f>
        <v>2018</v>
      </c>
      <c r="H29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298">
        <f>+IF(Tabla__192.168.1.8_POSEIDONSQL_APPFVT_01_SQLFacturasRendidas[[#This Row],[epc_nombre]]="RENDIDA",1,0)</f>
        <v>1</v>
      </c>
      <c r="J298">
        <f>+IF(Tabla__192.168.1.8_POSEIDONSQL_APPFVT_01_SQLFacturasRendidas[[#This Row],[usu_codigo]]="","",1)</f>
        <v>1</v>
      </c>
    </row>
    <row r="299" spans="1:10" x14ac:dyDescent="0.25">
      <c r="A299">
        <v>1</v>
      </c>
      <c r="B299">
        <v>3</v>
      </c>
      <c r="C299" t="s">
        <v>81</v>
      </c>
      <c r="D299" t="s">
        <v>15</v>
      </c>
      <c r="E299" t="s">
        <v>63</v>
      </c>
      <c r="F299">
        <v>93880</v>
      </c>
      <c r="G299">
        <f>+YEAR(Tabla__192.168.1.8_POSEIDONSQL_APPFVT_01_SQLFacturasRendidas[[#This Row],[f_facturacion]])</f>
        <v>2018</v>
      </c>
      <c r="H29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299">
        <f>+IF(Tabla__192.168.1.8_POSEIDONSQL_APPFVT_01_SQLFacturasRendidas[[#This Row],[epc_nombre]]="RENDIDA",1,0)</f>
        <v>1</v>
      </c>
      <c r="J299">
        <f>+IF(Tabla__192.168.1.8_POSEIDONSQL_APPFVT_01_SQLFacturasRendidas[[#This Row],[usu_codigo]]="","",1)</f>
        <v>1</v>
      </c>
    </row>
    <row r="300" spans="1:10" x14ac:dyDescent="0.25">
      <c r="A300">
        <v>1</v>
      </c>
      <c r="B300">
        <v>3</v>
      </c>
      <c r="C300" t="s">
        <v>81</v>
      </c>
      <c r="D300" t="s">
        <v>15</v>
      </c>
      <c r="E300" t="s">
        <v>63</v>
      </c>
      <c r="F300">
        <v>93881</v>
      </c>
      <c r="G300">
        <f>+YEAR(Tabla__192.168.1.8_POSEIDONSQL_APPFVT_01_SQLFacturasRendidas[[#This Row],[f_facturacion]])</f>
        <v>2018</v>
      </c>
      <c r="H30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300">
        <f>+IF(Tabla__192.168.1.8_POSEIDONSQL_APPFVT_01_SQLFacturasRendidas[[#This Row],[epc_nombre]]="RENDIDA",1,0)</f>
        <v>1</v>
      </c>
      <c r="J300">
        <f>+IF(Tabla__192.168.1.8_POSEIDONSQL_APPFVT_01_SQLFacturasRendidas[[#This Row],[usu_codigo]]="","",1)</f>
        <v>1</v>
      </c>
    </row>
    <row r="301" spans="1:10" x14ac:dyDescent="0.25">
      <c r="A301">
        <v>1</v>
      </c>
      <c r="B301">
        <v>3</v>
      </c>
      <c r="C301" t="s">
        <v>81</v>
      </c>
      <c r="D301" t="s">
        <v>15</v>
      </c>
      <c r="E301" t="s">
        <v>63</v>
      </c>
      <c r="F301">
        <v>93882</v>
      </c>
      <c r="G301">
        <f>+YEAR(Tabla__192.168.1.8_POSEIDONSQL_APPFVT_01_SQLFacturasRendidas[[#This Row],[f_facturacion]])</f>
        <v>2018</v>
      </c>
      <c r="H30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301">
        <f>+IF(Tabla__192.168.1.8_POSEIDONSQL_APPFVT_01_SQLFacturasRendidas[[#This Row],[epc_nombre]]="RENDIDA",1,0)</f>
        <v>1</v>
      </c>
      <c r="J301">
        <f>+IF(Tabla__192.168.1.8_POSEIDONSQL_APPFVT_01_SQLFacturasRendidas[[#This Row],[usu_codigo]]="","",1)</f>
        <v>1</v>
      </c>
    </row>
    <row r="302" spans="1:10" x14ac:dyDescent="0.25">
      <c r="A302">
        <v>1</v>
      </c>
      <c r="B302">
        <v>3</v>
      </c>
      <c r="C302" t="s">
        <v>81</v>
      </c>
      <c r="D302" t="s">
        <v>15</v>
      </c>
      <c r="E302" t="s">
        <v>63</v>
      </c>
      <c r="F302">
        <v>93883</v>
      </c>
      <c r="G302">
        <f>+YEAR(Tabla__192.168.1.8_POSEIDONSQL_APPFVT_01_SQLFacturasRendidas[[#This Row],[f_facturacion]])</f>
        <v>2018</v>
      </c>
      <c r="H30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302">
        <f>+IF(Tabla__192.168.1.8_POSEIDONSQL_APPFVT_01_SQLFacturasRendidas[[#This Row],[epc_nombre]]="RENDIDA",1,0)</f>
        <v>1</v>
      </c>
      <c r="J302">
        <f>+IF(Tabla__192.168.1.8_POSEIDONSQL_APPFVT_01_SQLFacturasRendidas[[#This Row],[usu_codigo]]="","",1)</f>
        <v>1</v>
      </c>
    </row>
    <row r="303" spans="1:10" x14ac:dyDescent="0.25">
      <c r="A303">
        <v>1</v>
      </c>
      <c r="B303">
        <v>3</v>
      </c>
      <c r="C303" t="s">
        <v>81</v>
      </c>
      <c r="D303" t="s">
        <v>15</v>
      </c>
      <c r="E303" t="s">
        <v>63</v>
      </c>
      <c r="F303">
        <v>93884</v>
      </c>
      <c r="G303">
        <f>+YEAR(Tabla__192.168.1.8_POSEIDONSQL_APPFVT_01_SQLFacturasRendidas[[#This Row],[f_facturacion]])</f>
        <v>2018</v>
      </c>
      <c r="H30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303">
        <f>+IF(Tabla__192.168.1.8_POSEIDONSQL_APPFVT_01_SQLFacturasRendidas[[#This Row],[epc_nombre]]="RENDIDA",1,0)</f>
        <v>1</v>
      </c>
      <c r="J303">
        <f>+IF(Tabla__192.168.1.8_POSEIDONSQL_APPFVT_01_SQLFacturasRendidas[[#This Row],[usu_codigo]]="","",1)</f>
        <v>1</v>
      </c>
    </row>
    <row r="304" spans="1:10" x14ac:dyDescent="0.25">
      <c r="A304">
        <v>1</v>
      </c>
      <c r="B304">
        <v>3</v>
      </c>
      <c r="C304" t="s">
        <v>81</v>
      </c>
      <c r="D304" t="s">
        <v>15</v>
      </c>
      <c r="E304" t="s">
        <v>63</v>
      </c>
      <c r="F304">
        <v>93886</v>
      </c>
      <c r="G304">
        <f>+YEAR(Tabla__192.168.1.8_POSEIDONSQL_APPFVT_01_SQLFacturasRendidas[[#This Row],[f_facturacion]])</f>
        <v>2018</v>
      </c>
      <c r="H30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304">
        <f>+IF(Tabla__192.168.1.8_POSEIDONSQL_APPFVT_01_SQLFacturasRendidas[[#This Row],[epc_nombre]]="RENDIDA",1,0)</f>
        <v>1</v>
      </c>
      <c r="J304">
        <f>+IF(Tabla__192.168.1.8_POSEIDONSQL_APPFVT_01_SQLFacturasRendidas[[#This Row],[usu_codigo]]="","",1)</f>
        <v>1</v>
      </c>
    </row>
    <row r="305" spans="1:10" x14ac:dyDescent="0.25">
      <c r="A305">
        <v>1</v>
      </c>
      <c r="B305">
        <v>3</v>
      </c>
      <c r="C305" t="s">
        <v>81</v>
      </c>
      <c r="D305" t="s">
        <v>15</v>
      </c>
      <c r="E305" t="s">
        <v>75</v>
      </c>
      <c r="F305">
        <v>93977</v>
      </c>
      <c r="G305">
        <f>+YEAR(Tabla__192.168.1.8_POSEIDONSQL_APPFVT_01_SQLFacturasRendidas[[#This Row],[f_facturacion]])</f>
        <v>2018</v>
      </c>
      <c r="H30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305">
        <f>+IF(Tabla__192.168.1.8_POSEIDONSQL_APPFVT_01_SQLFacturasRendidas[[#This Row],[epc_nombre]]="RENDIDA",1,0)</f>
        <v>1</v>
      </c>
      <c r="J305">
        <f>+IF(Tabla__192.168.1.8_POSEIDONSQL_APPFVT_01_SQLFacturasRendidas[[#This Row],[usu_codigo]]="","",1)</f>
        <v>1</v>
      </c>
    </row>
    <row r="306" spans="1:10" x14ac:dyDescent="0.25">
      <c r="A306">
        <v>1</v>
      </c>
      <c r="B306">
        <v>3</v>
      </c>
      <c r="C306" t="s">
        <v>81</v>
      </c>
      <c r="D306" t="s">
        <v>15</v>
      </c>
      <c r="E306" t="s">
        <v>75</v>
      </c>
      <c r="F306">
        <v>93978</v>
      </c>
      <c r="G306">
        <f>+YEAR(Tabla__192.168.1.8_POSEIDONSQL_APPFVT_01_SQLFacturasRendidas[[#This Row],[f_facturacion]])</f>
        <v>2018</v>
      </c>
      <c r="H30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306">
        <f>+IF(Tabla__192.168.1.8_POSEIDONSQL_APPFVT_01_SQLFacturasRendidas[[#This Row],[epc_nombre]]="RENDIDA",1,0)</f>
        <v>1</v>
      </c>
      <c r="J306">
        <f>+IF(Tabla__192.168.1.8_POSEIDONSQL_APPFVT_01_SQLFacturasRendidas[[#This Row],[usu_codigo]]="","",1)</f>
        <v>1</v>
      </c>
    </row>
    <row r="307" spans="1:10" x14ac:dyDescent="0.25">
      <c r="A307">
        <v>1</v>
      </c>
      <c r="B307">
        <v>3</v>
      </c>
      <c r="C307" t="s">
        <v>81</v>
      </c>
      <c r="D307" t="s">
        <v>23</v>
      </c>
      <c r="E307" t="s">
        <v>77</v>
      </c>
      <c r="F307">
        <v>93980</v>
      </c>
      <c r="G307">
        <f>+YEAR(Tabla__192.168.1.8_POSEIDONSQL_APPFVT_01_SQLFacturasRendidas[[#This Row],[f_facturacion]])</f>
        <v>2018</v>
      </c>
      <c r="H30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307">
        <f>+IF(Tabla__192.168.1.8_POSEIDONSQL_APPFVT_01_SQLFacturasRendidas[[#This Row],[epc_nombre]]="RENDIDA",1,0)</f>
        <v>0</v>
      </c>
      <c r="J307">
        <f>+IF(Tabla__192.168.1.8_POSEIDONSQL_APPFVT_01_SQLFacturasRendidas[[#This Row],[usu_codigo]]="","",1)</f>
        <v>1</v>
      </c>
    </row>
    <row r="308" spans="1:10" x14ac:dyDescent="0.25">
      <c r="A308">
        <v>1</v>
      </c>
      <c r="B308">
        <v>3</v>
      </c>
      <c r="C308" t="s">
        <v>81</v>
      </c>
      <c r="D308" t="s">
        <v>15</v>
      </c>
      <c r="E308" t="s">
        <v>77</v>
      </c>
      <c r="F308">
        <v>93981</v>
      </c>
      <c r="G308">
        <f>+YEAR(Tabla__192.168.1.8_POSEIDONSQL_APPFVT_01_SQLFacturasRendidas[[#This Row],[f_facturacion]])</f>
        <v>2018</v>
      </c>
      <c r="H30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308">
        <f>+IF(Tabla__192.168.1.8_POSEIDONSQL_APPFVT_01_SQLFacturasRendidas[[#This Row],[epc_nombre]]="RENDIDA",1,0)</f>
        <v>1</v>
      </c>
      <c r="J308">
        <f>+IF(Tabla__192.168.1.8_POSEIDONSQL_APPFVT_01_SQLFacturasRendidas[[#This Row],[usu_codigo]]="","",1)</f>
        <v>1</v>
      </c>
    </row>
    <row r="309" spans="1:10" x14ac:dyDescent="0.25">
      <c r="A309">
        <v>1</v>
      </c>
      <c r="B309">
        <v>3</v>
      </c>
      <c r="C309" t="s">
        <v>81</v>
      </c>
      <c r="D309" t="s">
        <v>15</v>
      </c>
      <c r="E309" t="s">
        <v>77</v>
      </c>
      <c r="F309">
        <v>93982</v>
      </c>
      <c r="G309">
        <f>+YEAR(Tabla__192.168.1.8_POSEIDONSQL_APPFVT_01_SQLFacturasRendidas[[#This Row],[f_facturacion]])</f>
        <v>2018</v>
      </c>
      <c r="H30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309">
        <f>+IF(Tabla__192.168.1.8_POSEIDONSQL_APPFVT_01_SQLFacturasRendidas[[#This Row],[epc_nombre]]="RENDIDA",1,0)</f>
        <v>1</v>
      </c>
      <c r="J309">
        <f>+IF(Tabla__192.168.1.8_POSEIDONSQL_APPFVT_01_SQLFacturasRendidas[[#This Row],[usu_codigo]]="","",1)</f>
        <v>1</v>
      </c>
    </row>
    <row r="310" spans="1:10" x14ac:dyDescent="0.25">
      <c r="A310">
        <v>1</v>
      </c>
      <c r="B310">
        <v>3</v>
      </c>
      <c r="C310" t="s">
        <v>81</v>
      </c>
      <c r="D310" t="s">
        <v>15</v>
      </c>
      <c r="E310" t="s">
        <v>77</v>
      </c>
      <c r="F310">
        <v>93983</v>
      </c>
      <c r="G310">
        <f>+YEAR(Tabla__192.168.1.8_POSEIDONSQL_APPFVT_01_SQLFacturasRendidas[[#This Row],[f_facturacion]])</f>
        <v>2018</v>
      </c>
      <c r="H31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310">
        <f>+IF(Tabla__192.168.1.8_POSEIDONSQL_APPFVT_01_SQLFacturasRendidas[[#This Row],[epc_nombre]]="RENDIDA",1,0)</f>
        <v>1</v>
      </c>
      <c r="J310">
        <f>+IF(Tabla__192.168.1.8_POSEIDONSQL_APPFVT_01_SQLFacturasRendidas[[#This Row],[usu_codigo]]="","",1)</f>
        <v>1</v>
      </c>
    </row>
    <row r="311" spans="1:10" x14ac:dyDescent="0.25">
      <c r="A311">
        <v>1</v>
      </c>
      <c r="B311">
        <v>3</v>
      </c>
      <c r="C311" t="s">
        <v>81</v>
      </c>
      <c r="D311" t="s">
        <v>15</v>
      </c>
      <c r="E311" t="s">
        <v>77</v>
      </c>
      <c r="F311">
        <v>93984</v>
      </c>
      <c r="G311">
        <f>+YEAR(Tabla__192.168.1.8_POSEIDONSQL_APPFVT_01_SQLFacturasRendidas[[#This Row],[f_facturacion]])</f>
        <v>2018</v>
      </c>
      <c r="H31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311">
        <f>+IF(Tabla__192.168.1.8_POSEIDONSQL_APPFVT_01_SQLFacturasRendidas[[#This Row],[epc_nombre]]="RENDIDA",1,0)</f>
        <v>1</v>
      </c>
      <c r="J311">
        <f>+IF(Tabla__192.168.1.8_POSEIDONSQL_APPFVT_01_SQLFacturasRendidas[[#This Row],[usu_codigo]]="","",1)</f>
        <v>1</v>
      </c>
    </row>
    <row r="312" spans="1:10" x14ac:dyDescent="0.25">
      <c r="A312">
        <v>1</v>
      </c>
      <c r="B312">
        <v>3</v>
      </c>
      <c r="C312" t="s">
        <v>81</v>
      </c>
      <c r="D312" t="s">
        <v>15</v>
      </c>
      <c r="E312" t="s">
        <v>77</v>
      </c>
      <c r="F312">
        <v>93985</v>
      </c>
      <c r="G312">
        <f>+YEAR(Tabla__192.168.1.8_POSEIDONSQL_APPFVT_01_SQLFacturasRendidas[[#This Row],[f_facturacion]])</f>
        <v>2018</v>
      </c>
      <c r="H31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312">
        <f>+IF(Tabla__192.168.1.8_POSEIDONSQL_APPFVT_01_SQLFacturasRendidas[[#This Row],[epc_nombre]]="RENDIDA",1,0)</f>
        <v>1</v>
      </c>
      <c r="J312">
        <f>+IF(Tabla__192.168.1.8_POSEIDONSQL_APPFVT_01_SQLFacturasRendidas[[#This Row],[usu_codigo]]="","",1)</f>
        <v>1</v>
      </c>
    </row>
    <row r="313" spans="1:10" x14ac:dyDescent="0.25">
      <c r="A313">
        <v>1</v>
      </c>
      <c r="B313">
        <v>3</v>
      </c>
      <c r="C313" t="s">
        <v>81</v>
      </c>
      <c r="D313" t="s">
        <v>15</v>
      </c>
      <c r="E313" t="s">
        <v>77</v>
      </c>
      <c r="F313">
        <v>93986</v>
      </c>
      <c r="G313">
        <f>+YEAR(Tabla__192.168.1.8_POSEIDONSQL_APPFVT_01_SQLFacturasRendidas[[#This Row],[f_facturacion]])</f>
        <v>2018</v>
      </c>
      <c r="H31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313">
        <f>+IF(Tabla__192.168.1.8_POSEIDONSQL_APPFVT_01_SQLFacturasRendidas[[#This Row],[epc_nombre]]="RENDIDA",1,0)</f>
        <v>1</v>
      </c>
      <c r="J313">
        <f>+IF(Tabla__192.168.1.8_POSEIDONSQL_APPFVT_01_SQLFacturasRendidas[[#This Row],[usu_codigo]]="","",1)</f>
        <v>1</v>
      </c>
    </row>
    <row r="314" spans="1:10" x14ac:dyDescent="0.25">
      <c r="A314">
        <v>1</v>
      </c>
      <c r="B314">
        <v>3</v>
      </c>
      <c r="C314" t="s">
        <v>12</v>
      </c>
      <c r="D314" t="s">
        <v>15</v>
      </c>
      <c r="E314" t="s">
        <v>45</v>
      </c>
      <c r="F314">
        <v>91503</v>
      </c>
      <c r="G314">
        <f>+YEAR(Tabla__192.168.1.8_POSEIDONSQL_APPFVT_01_SQLFacturasRendidas[[#This Row],[f_facturacion]])</f>
        <v>2018</v>
      </c>
      <c r="H31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314">
        <f>+IF(Tabla__192.168.1.8_POSEIDONSQL_APPFVT_01_SQLFacturasRendidas[[#This Row],[epc_nombre]]="RENDIDA",1,0)</f>
        <v>1</v>
      </c>
      <c r="J314">
        <f>+IF(Tabla__192.168.1.8_POSEIDONSQL_APPFVT_01_SQLFacturasRendidas[[#This Row],[usu_codigo]]="","",1)</f>
        <v>1</v>
      </c>
    </row>
    <row r="315" spans="1:10" x14ac:dyDescent="0.25">
      <c r="A315">
        <v>1</v>
      </c>
      <c r="B315">
        <v>3</v>
      </c>
      <c r="C315" t="s">
        <v>12</v>
      </c>
      <c r="D315" t="s">
        <v>15</v>
      </c>
      <c r="E315" t="s">
        <v>45</v>
      </c>
      <c r="F315">
        <v>91504</v>
      </c>
      <c r="G315">
        <f>+YEAR(Tabla__192.168.1.8_POSEIDONSQL_APPFVT_01_SQLFacturasRendidas[[#This Row],[f_facturacion]])</f>
        <v>2018</v>
      </c>
      <c r="H31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315">
        <f>+IF(Tabla__192.168.1.8_POSEIDONSQL_APPFVT_01_SQLFacturasRendidas[[#This Row],[epc_nombre]]="RENDIDA",1,0)</f>
        <v>1</v>
      </c>
      <c r="J315">
        <f>+IF(Tabla__192.168.1.8_POSEIDONSQL_APPFVT_01_SQLFacturasRendidas[[#This Row],[usu_codigo]]="","",1)</f>
        <v>1</v>
      </c>
    </row>
    <row r="316" spans="1:10" x14ac:dyDescent="0.25">
      <c r="A316">
        <v>1</v>
      </c>
      <c r="B316">
        <v>3</v>
      </c>
      <c r="C316" t="s">
        <v>12</v>
      </c>
      <c r="D316" t="s">
        <v>15</v>
      </c>
      <c r="E316" t="s">
        <v>20</v>
      </c>
      <c r="F316">
        <v>91583</v>
      </c>
      <c r="G316">
        <f>+YEAR(Tabla__192.168.1.8_POSEIDONSQL_APPFVT_01_SQLFacturasRendidas[[#This Row],[f_facturacion]])</f>
        <v>2018</v>
      </c>
      <c r="H31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316">
        <f>+IF(Tabla__192.168.1.8_POSEIDONSQL_APPFVT_01_SQLFacturasRendidas[[#This Row],[epc_nombre]]="RENDIDA",1,0)</f>
        <v>1</v>
      </c>
      <c r="J316">
        <f>+IF(Tabla__192.168.1.8_POSEIDONSQL_APPFVT_01_SQLFacturasRendidas[[#This Row],[usu_codigo]]="","",1)</f>
        <v>1</v>
      </c>
    </row>
    <row r="317" spans="1:10" x14ac:dyDescent="0.25">
      <c r="A317">
        <v>1</v>
      </c>
      <c r="B317">
        <v>3</v>
      </c>
      <c r="C317" t="s">
        <v>12</v>
      </c>
      <c r="D317" t="s">
        <v>15</v>
      </c>
      <c r="E317" t="s">
        <v>27</v>
      </c>
      <c r="F317">
        <v>91584</v>
      </c>
      <c r="G317">
        <f>+YEAR(Tabla__192.168.1.8_POSEIDONSQL_APPFVT_01_SQLFacturasRendidas[[#This Row],[f_facturacion]])</f>
        <v>2018</v>
      </c>
      <c r="H31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317">
        <f>+IF(Tabla__192.168.1.8_POSEIDONSQL_APPFVT_01_SQLFacturasRendidas[[#This Row],[epc_nombre]]="RENDIDA",1,0)</f>
        <v>1</v>
      </c>
      <c r="J317">
        <f>+IF(Tabla__192.168.1.8_POSEIDONSQL_APPFVT_01_SQLFacturasRendidas[[#This Row],[usu_codigo]]="","",1)</f>
        <v>1</v>
      </c>
    </row>
    <row r="318" spans="1:10" x14ac:dyDescent="0.25">
      <c r="A318">
        <v>1</v>
      </c>
      <c r="B318">
        <v>3</v>
      </c>
      <c r="C318" t="s">
        <v>12</v>
      </c>
      <c r="D318" t="s">
        <v>15</v>
      </c>
      <c r="E318" t="s">
        <v>20</v>
      </c>
      <c r="F318">
        <v>91585</v>
      </c>
      <c r="G318">
        <f>+YEAR(Tabla__192.168.1.8_POSEIDONSQL_APPFVT_01_SQLFacturasRendidas[[#This Row],[f_facturacion]])</f>
        <v>2018</v>
      </c>
      <c r="H31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318">
        <f>+IF(Tabla__192.168.1.8_POSEIDONSQL_APPFVT_01_SQLFacturasRendidas[[#This Row],[epc_nombre]]="RENDIDA",1,0)</f>
        <v>1</v>
      </c>
      <c r="J318">
        <f>+IF(Tabla__192.168.1.8_POSEIDONSQL_APPFVT_01_SQLFacturasRendidas[[#This Row],[usu_codigo]]="","",1)</f>
        <v>1</v>
      </c>
    </row>
    <row r="319" spans="1:10" x14ac:dyDescent="0.25">
      <c r="A319">
        <v>1</v>
      </c>
      <c r="B319">
        <v>3</v>
      </c>
      <c r="C319" t="s">
        <v>12</v>
      </c>
      <c r="D319" t="s">
        <v>15</v>
      </c>
      <c r="E319" t="s">
        <v>21</v>
      </c>
      <c r="F319">
        <v>91586</v>
      </c>
      <c r="G319">
        <f>+YEAR(Tabla__192.168.1.8_POSEIDONSQL_APPFVT_01_SQLFacturasRendidas[[#This Row],[f_facturacion]])</f>
        <v>2018</v>
      </c>
      <c r="H31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319">
        <f>+IF(Tabla__192.168.1.8_POSEIDONSQL_APPFVT_01_SQLFacturasRendidas[[#This Row],[epc_nombre]]="RENDIDA",1,0)</f>
        <v>1</v>
      </c>
      <c r="J319">
        <f>+IF(Tabla__192.168.1.8_POSEIDONSQL_APPFVT_01_SQLFacturasRendidas[[#This Row],[usu_codigo]]="","",1)</f>
        <v>1</v>
      </c>
    </row>
    <row r="320" spans="1:10" x14ac:dyDescent="0.25">
      <c r="A320">
        <v>1</v>
      </c>
      <c r="B320">
        <v>3</v>
      </c>
      <c r="C320" t="s">
        <v>12</v>
      </c>
      <c r="D320" t="s">
        <v>15</v>
      </c>
      <c r="E320" t="s">
        <v>24</v>
      </c>
      <c r="F320">
        <v>91798</v>
      </c>
      <c r="G320">
        <f>+YEAR(Tabla__192.168.1.8_POSEIDONSQL_APPFVT_01_SQLFacturasRendidas[[#This Row],[f_facturacion]])</f>
        <v>2018</v>
      </c>
      <c r="H32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320">
        <f>+IF(Tabla__192.168.1.8_POSEIDONSQL_APPFVT_01_SQLFacturasRendidas[[#This Row],[epc_nombre]]="RENDIDA",1,0)</f>
        <v>1</v>
      </c>
      <c r="J320">
        <f>+IF(Tabla__192.168.1.8_POSEIDONSQL_APPFVT_01_SQLFacturasRendidas[[#This Row],[usu_codigo]]="","",1)</f>
        <v>1</v>
      </c>
    </row>
    <row r="321" spans="1:10" x14ac:dyDescent="0.25">
      <c r="A321">
        <v>1</v>
      </c>
      <c r="B321">
        <v>3</v>
      </c>
      <c r="C321" t="s">
        <v>12</v>
      </c>
      <c r="D321" t="s">
        <v>15</v>
      </c>
      <c r="E321" t="s">
        <v>25</v>
      </c>
      <c r="F321">
        <v>91825</v>
      </c>
      <c r="G321">
        <f>+YEAR(Tabla__192.168.1.8_POSEIDONSQL_APPFVT_01_SQLFacturasRendidas[[#This Row],[f_facturacion]])</f>
        <v>2018</v>
      </c>
      <c r="H32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321">
        <f>+IF(Tabla__192.168.1.8_POSEIDONSQL_APPFVT_01_SQLFacturasRendidas[[#This Row],[epc_nombre]]="RENDIDA",1,0)</f>
        <v>1</v>
      </c>
      <c r="J321">
        <f>+IF(Tabla__192.168.1.8_POSEIDONSQL_APPFVT_01_SQLFacturasRendidas[[#This Row],[usu_codigo]]="","",1)</f>
        <v>1</v>
      </c>
    </row>
    <row r="322" spans="1:10" x14ac:dyDescent="0.25">
      <c r="A322">
        <v>1</v>
      </c>
      <c r="B322">
        <v>3</v>
      </c>
      <c r="C322" t="s">
        <v>12</v>
      </c>
      <c r="D322" t="s">
        <v>15</v>
      </c>
      <c r="E322" t="s">
        <v>25</v>
      </c>
      <c r="F322">
        <v>91826</v>
      </c>
      <c r="G322">
        <f>+YEAR(Tabla__192.168.1.8_POSEIDONSQL_APPFVT_01_SQLFacturasRendidas[[#This Row],[f_facturacion]])</f>
        <v>2018</v>
      </c>
      <c r="H32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322">
        <f>+IF(Tabla__192.168.1.8_POSEIDONSQL_APPFVT_01_SQLFacturasRendidas[[#This Row],[epc_nombre]]="RENDIDA",1,0)</f>
        <v>1</v>
      </c>
      <c r="J322">
        <f>+IF(Tabla__192.168.1.8_POSEIDONSQL_APPFVT_01_SQLFacturasRendidas[[#This Row],[usu_codigo]]="","",1)</f>
        <v>1</v>
      </c>
    </row>
    <row r="323" spans="1:10" x14ac:dyDescent="0.25">
      <c r="A323">
        <v>1</v>
      </c>
      <c r="B323">
        <v>3</v>
      </c>
      <c r="C323" t="s">
        <v>12</v>
      </c>
      <c r="D323" t="s">
        <v>15</v>
      </c>
      <c r="E323" t="s">
        <v>27</v>
      </c>
      <c r="F323">
        <v>91972</v>
      </c>
      <c r="G323">
        <f>+YEAR(Tabla__192.168.1.8_POSEIDONSQL_APPFVT_01_SQLFacturasRendidas[[#This Row],[f_facturacion]])</f>
        <v>2018</v>
      </c>
      <c r="H32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323">
        <f>+IF(Tabla__192.168.1.8_POSEIDONSQL_APPFVT_01_SQLFacturasRendidas[[#This Row],[epc_nombre]]="RENDIDA",1,0)</f>
        <v>1</v>
      </c>
      <c r="J323">
        <f>+IF(Tabla__192.168.1.8_POSEIDONSQL_APPFVT_01_SQLFacturasRendidas[[#This Row],[usu_codigo]]="","",1)</f>
        <v>1</v>
      </c>
    </row>
    <row r="324" spans="1:10" x14ac:dyDescent="0.25">
      <c r="A324">
        <v>1</v>
      </c>
      <c r="B324">
        <v>3</v>
      </c>
      <c r="C324" t="s">
        <v>12</v>
      </c>
      <c r="D324" t="s">
        <v>15</v>
      </c>
      <c r="E324" t="s">
        <v>27</v>
      </c>
      <c r="F324">
        <v>91973</v>
      </c>
      <c r="G324">
        <f>+YEAR(Tabla__192.168.1.8_POSEIDONSQL_APPFVT_01_SQLFacturasRendidas[[#This Row],[f_facturacion]])</f>
        <v>2018</v>
      </c>
      <c r="H32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324">
        <f>+IF(Tabla__192.168.1.8_POSEIDONSQL_APPFVT_01_SQLFacturasRendidas[[#This Row],[epc_nombre]]="RENDIDA",1,0)</f>
        <v>1</v>
      </c>
      <c r="J324">
        <f>+IF(Tabla__192.168.1.8_POSEIDONSQL_APPFVT_01_SQLFacturasRendidas[[#This Row],[usu_codigo]]="","",1)</f>
        <v>1</v>
      </c>
    </row>
    <row r="325" spans="1:10" x14ac:dyDescent="0.25">
      <c r="A325">
        <v>1</v>
      </c>
      <c r="B325">
        <v>3</v>
      </c>
      <c r="C325" t="s">
        <v>12</v>
      </c>
      <c r="D325" t="s">
        <v>15</v>
      </c>
      <c r="E325" t="s">
        <v>27</v>
      </c>
      <c r="F325">
        <v>91974</v>
      </c>
      <c r="G325">
        <f>+YEAR(Tabla__192.168.1.8_POSEIDONSQL_APPFVT_01_SQLFacturasRendidas[[#This Row],[f_facturacion]])</f>
        <v>2018</v>
      </c>
      <c r="H32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325">
        <f>+IF(Tabla__192.168.1.8_POSEIDONSQL_APPFVT_01_SQLFacturasRendidas[[#This Row],[epc_nombre]]="RENDIDA",1,0)</f>
        <v>1</v>
      </c>
      <c r="J325">
        <f>+IF(Tabla__192.168.1.8_POSEIDONSQL_APPFVT_01_SQLFacturasRendidas[[#This Row],[usu_codigo]]="","",1)</f>
        <v>1</v>
      </c>
    </row>
    <row r="326" spans="1:10" x14ac:dyDescent="0.25">
      <c r="A326">
        <v>1</v>
      </c>
      <c r="B326">
        <v>3</v>
      </c>
      <c r="C326" t="s">
        <v>12</v>
      </c>
      <c r="D326" t="s">
        <v>15</v>
      </c>
      <c r="E326" t="s">
        <v>67</v>
      </c>
      <c r="F326">
        <v>91975</v>
      </c>
      <c r="G326">
        <f>+YEAR(Tabla__192.168.1.8_POSEIDONSQL_APPFVT_01_SQLFacturasRendidas[[#This Row],[f_facturacion]])</f>
        <v>2018</v>
      </c>
      <c r="H32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326">
        <f>+IF(Tabla__192.168.1.8_POSEIDONSQL_APPFVT_01_SQLFacturasRendidas[[#This Row],[epc_nombre]]="RENDIDA",1,0)</f>
        <v>1</v>
      </c>
      <c r="J326">
        <f>+IF(Tabla__192.168.1.8_POSEIDONSQL_APPFVT_01_SQLFacturasRendidas[[#This Row],[usu_codigo]]="","",1)</f>
        <v>1</v>
      </c>
    </row>
    <row r="327" spans="1:10" x14ac:dyDescent="0.25">
      <c r="A327">
        <v>1</v>
      </c>
      <c r="B327">
        <v>3</v>
      </c>
      <c r="C327" t="s">
        <v>12</v>
      </c>
      <c r="D327" t="s">
        <v>15</v>
      </c>
      <c r="E327" t="s">
        <v>67</v>
      </c>
      <c r="F327">
        <v>91976</v>
      </c>
      <c r="G327">
        <f>+YEAR(Tabla__192.168.1.8_POSEIDONSQL_APPFVT_01_SQLFacturasRendidas[[#This Row],[f_facturacion]])</f>
        <v>2018</v>
      </c>
      <c r="H32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327">
        <f>+IF(Tabla__192.168.1.8_POSEIDONSQL_APPFVT_01_SQLFacturasRendidas[[#This Row],[epc_nombre]]="RENDIDA",1,0)</f>
        <v>1</v>
      </c>
      <c r="J327">
        <f>+IF(Tabla__192.168.1.8_POSEIDONSQL_APPFVT_01_SQLFacturasRendidas[[#This Row],[usu_codigo]]="","",1)</f>
        <v>1</v>
      </c>
    </row>
    <row r="328" spans="1:10" x14ac:dyDescent="0.25">
      <c r="A328">
        <v>1</v>
      </c>
      <c r="B328">
        <v>3</v>
      </c>
      <c r="C328" t="s">
        <v>12</v>
      </c>
      <c r="D328" t="s">
        <v>15</v>
      </c>
      <c r="E328" t="s">
        <v>67</v>
      </c>
      <c r="F328">
        <v>91977</v>
      </c>
      <c r="G328">
        <f>+YEAR(Tabla__192.168.1.8_POSEIDONSQL_APPFVT_01_SQLFacturasRendidas[[#This Row],[f_facturacion]])</f>
        <v>2018</v>
      </c>
      <c r="H32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328">
        <f>+IF(Tabla__192.168.1.8_POSEIDONSQL_APPFVT_01_SQLFacturasRendidas[[#This Row],[epc_nombre]]="RENDIDA",1,0)</f>
        <v>1</v>
      </c>
      <c r="J328">
        <f>+IF(Tabla__192.168.1.8_POSEIDONSQL_APPFVT_01_SQLFacturasRendidas[[#This Row],[usu_codigo]]="","",1)</f>
        <v>1</v>
      </c>
    </row>
    <row r="329" spans="1:10" x14ac:dyDescent="0.25">
      <c r="A329">
        <v>1</v>
      </c>
      <c r="B329">
        <v>3</v>
      </c>
      <c r="C329" t="s">
        <v>12</v>
      </c>
      <c r="D329" t="s">
        <v>15</v>
      </c>
      <c r="E329" t="s">
        <v>67</v>
      </c>
      <c r="F329">
        <v>91978</v>
      </c>
      <c r="G329">
        <f>+YEAR(Tabla__192.168.1.8_POSEIDONSQL_APPFVT_01_SQLFacturasRendidas[[#This Row],[f_facturacion]])</f>
        <v>2018</v>
      </c>
      <c r="H32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329">
        <f>+IF(Tabla__192.168.1.8_POSEIDONSQL_APPFVT_01_SQLFacturasRendidas[[#This Row],[epc_nombre]]="RENDIDA",1,0)</f>
        <v>1</v>
      </c>
      <c r="J329">
        <f>+IF(Tabla__192.168.1.8_POSEIDONSQL_APPFVT_01_SQLFacturasRendidas[[#This Row],[usu_codigo]]="","",1)</f>
        <v>1</v>
      </c>
    </row>
    <row r="330" spans="1:10" x14ac:dyDescent="0.25">
      <c r="A330">
        <v>1</v>
      </c>
      <c r="B330">
        <v>3</v>
      </c>
      <c r="C330" t="s">
        <v>12</v>
      </c>
      <c r="D330" t="s">
        <v>15</v>
      </c>
      <c r="E330" t="s">
        <v>67</v>
      </c>
      <c r="F330">
        <v>91979</v>
      </c>
      <c r="G330">
        <f>+YEAR(Tabla__192.168.1.8_POSEIDONSQL_APPFVT_01_SQLFacturasRendidas[[#This Row],[f_facturacion]])</f>
        <v>2018</v>
      </c>
      <c r="H33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330">
        <f>+IF(Tabla__192.168.1.8_POSEIDONSQL_APPFVT_01_SQLFacturasRendidas[[#This Row],[epc_nombre]]="RENDIDA",1,0)</f>
        <v>1</v>
      </c>
      <c r="J330">
        <f>+IF(Tabla__192.168.1.8_POSEIDONSQL_APPFVT_01_SQLFacturasRendidas[[#This Row],[usu_codigo]]="","",1)</f>
        <v>1</v>
      </c>
    </row>
    <row r="331" spans="1:10" x14ac:dyDescent="0.25">
      <c r="A331">
        <v>1</v>
      </c>
      <c r="B331">
        <v>3</v>
      </c>
      <c r="C331" t="s">
        <v>12</v>
      </c>
      <c r="D331" t="s">
        <v>15</v>
      </c>
      <c r="E331" t="s">
        <v>67</v>
      </c>
      <c r="F331">
        <v>91980</v>
      </c>
      <c r="G331">
        <f>+YEAR(Tabla__192.168.1.8_POSEIDONSQL_APPFVT_01_SQLFacturasRendidas[[#This Row],[f_facturacion]])</f>
        <v>2018</v>
      </c>
      <c r="H33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331">
        <f>+IF(Tabla__192.168.1.8_POSEIDONSQL_APPFVT_01_SQLFacturasRendidas[[#This Row],[epc_nombre]]="RENDIDA",1,0)</f>
        <v>1</v>
      </c>
      <c r="J331">
        <f>+IF(Tabla__192.168.1.8_POSEIDONSQL_APPFVT_01_SQLFacturasRendidas[[#This Row],[usu_codigo]]="","",1)</f>
        <v>1</v>
      </c>
    </row>
    <row r="332" spans="1:10" x14ac:dyDescent="0.25">
      <c r="A332">
        <v>1</v>
      </c>
      <c r="B332">
        <v>3</v>
      </c>
      <c r="C332" t="s">
        <v>12</v>
      </c>
      <c r="D332" t="s">
        <v>15</v>
      </c>
      <c r="E332" t="s">
        <v>67</v>
      </c>
      <c r="F332">
        <v>91981</v>
      </c>
      <c r="G332">
        <f>+YEAR(Tabla__192.168.1.8_POSEIDONSQL_APPFVT_01_SQLFacturasRendidas[[#This Row],[f_facturacion]])</f>
        <v>2018</v>
      </c>
      <c r="H33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332">
        <f>+IF(Tabla__192.168.1.8_POSEIDONSQL_APPFVT_01_SQLFacturasRendidas[[#This Row],[epc_nombre]]="RENDIDA",1,0)</f>
        <v>1</v>
      </c>
      <c r="J332">
        <f>+IF(Tabla__192.168.1.8_POSEIDONSQL_APPFVT_01_SQLFacturasRendidas[[#This Row],[usu_codigo]]="","",1)</f>
        <v>1</v>
      </c>
    </row>
    <row r="333" spans="1:10" x14ac:dyDescent="0.25">
      <c r="A333">
        <v>1</v>
      </c>
      <c r="B333">
        <v>3</v>
      </c>
      <c r="C333" t="s">
        <v>12</v>
      </c>
      <c r="D333" t="s">
        <v>15</v>
      </c>
      <c r="E333" t="s">
        <v>67</v>
      </c>
      <c r="F333">
        <v>91982</v>
      </c>
      <c r="G333">
        <f>+YEAR(Tabla__192.168.1.8_POSEIDONSQL_APPFVT_01_SQLFacturasRendidas[[#This Row],[f_facturacion]])</f>
        <v>2018</v>
      </c>
      <c r="H33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333">
        <f>+IF(Tabla__192.168.1.8_POSEIDONSQL_APPFVT_01_SQLFacturasRendidas[[#This Row],[epc_nombre]]="RENDIDA",1,0)</f>
        <v>1</v>
      </c>
      <c r="J333">
        <f>+IF(Tabla__192.168.1.8_POSEIDONSQL_APPFVT_01_SQLFacturasRendidas[[#This Row],[usu_codigo]]="","",1)</f>
        <v>1</v>
      </c>
    </row>
    <row r="334" spans="1:10" x14ac:dyDescent="0.25">
      <c r="A334">
        <v>1</v>
      </c>
      <c r="B334">
        <v>3</v>
      </c>
      <c r="C334" t="s">
        <v>12</v>
      </c>
      <c r="D334" t="s">
        <v>15</v>
      </c>
      <c r="E334" t="s">
        <v>67</v>
      </c>
      <c r="F334">
        <v>91983</v>
      </c>
      <c r="G334">
        <f>+YEAR(Tabla__192.168.1.8_POSEIDONSQL_APPFVT_01_SQLFacturasRendidas[[#This Row],[f_facturacion]])</f>
        <v>2018</v>
      </c>
      <c r="H33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334">
        <f>+IF(Tabla__192.168.1.8_POSEIDONSQL_APPFVT_01_SQLFacturasRendidas[[#This Row],[epc_nombre]]="RENDIDA",1,0)</f>
        <v>1</v>
      </c>
      <c r="J334">
        <f>+IF(Tabla__192.168.1.8_POSEIDONSQL_APPFVT_01_SQLFacturasRendidas[[#This Row],[usu_codigo]]="","",1)</f>
        <v>1</v>
      </c>
    </row>
    <row r="335" spans="1:10" x14ac:dyDescent="0.25">
      <c r="A335">
        <v>1</v>
      </c>
      <c r="B335">
        <v>3</v>
      </c>
      <c r="C335" t="s">
        <v>12</v>
      </c>
      <c r="D335" t="s">
        <v>23</v>
      </c>
      <c r="E335" t="s">
        <v>28</v>
      </c>
      <c r="F335">
        <v>92066</v>
      </c>
      <c r="G335">
        <f>+YEAR(Tabla__192.168.1.8_POSEIDONSQL_APPFVT_01_SQLFacturasRendidas[[#This Row],[f_facturacion]])</f>
        <v>2018</v>
      </c>
      <c r="H33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335">
        <f>+IF(Tabla__192.168.1.8_POSEIDONSQL_APPFVT_01_SQLFacturasRendidas[[#This Row],[epc_nombre]]="RENDIDA",1,0)</f>
        <v>0</v>
      </c>
      <c r="J335">
        <f>+IF(Tabla__192.168.1.8_POSEIDONSQL_APPFVT_01_SQLFacturasRendidas[[#This Row],[usu_codigo]]="","",1)</f>
        <v>1</v>
      </c>
    </row>
    <row r="336" spans="1:10" x14ac:dyDescent="0.25">
      <c r="A336">
        <v>1</v>
      </c>
      <c r="B336">
        <v>3</v>
      </c>
      <c r="C336" t="s">
        <v>12</v>
      </c>
      <c r="D336" t="s">
        <v>15</v>
      </c>
      <c r="E336" t="s">
        <v>48</v>
      </c>
      <c r="F336">
        <v>92463</v>
      </c>
      <c r="G336">
        <f>+YEAR(Tabla__192.168.1.8_POSEIDONSQL_APPFVT_01_SQLFacturasRendidas[[#This Row],[f_facturacion]])</f>
        <v>2018</v>
      </c>
      <c r="H33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336">
        <f>+IF(Tabla__192.168.1.8_POSEIDONSQL_APPFVT_01_SQLFacturasRendidas[[#This Row],[epc_nombre]]="RENDIDA",1,0)</f>
        <v>1</v>
      </c>
      <c r="J336">
        <f>+IF(Tabla__192.168.1.8_POSEIDONSQL_APPFVT_01_SQLFacturasRendidas[[#This Row],[usu_codigo]]="","",1)</f>
        <v>1</v>
      </c>
    </row>
    <row r="337" spans="1:10" x14ac:dyDescent="0.25">
      <c r="A337">
        <v>1</v>
      </c>
      <c r="B337">
        <v>3</v>
      </c>
      <c r="C337" t="s">
        <v>12</v>
      </c>
      <c r="D337" t="s">
        <v>15</v>
      </c>
      <c r="E337" t="s">
        <v>48</v>
      </c>
      <c r="F337">
        <v>92464</v>
      </c>
      <c r="G337">
        <f>+YEAR(Tabla__192.168.1.8_POSEIDONSQL_APPFVT_01_SQLFacturasRendidas[[#This Row],[f_facturacion]])</f>
        <v>2018</v>
      </c>
      <c r="H33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337">
        <f>+IF(Tabla__192.168.1.8_POSEIDONSQL_APPFVT_01_SQLFacturasRendidas[[#This Row],[epc_nombre]]="RENDIDA",1,0)</f>
        <v>1</v>
      </c>
      <c r="J337">
        <f>+IF(Tabla__192.168.1.8_POSEIDONSQL_APPFVT_01_SQLFacturasRendidas[[#This Row],[usu_codigo]]="","",1)</f>
        <v>1</v>
      </c>
    </row>
    <row r="338" spans="1:10" x14ac:dyDescent="0.25">
      <c r="A338">
        <v>1</v>
      </c>
      <c r="B338">
        <v>3</v>
      </c>
      <c r="C338" t="s">
        <v>12</v>
      </c>
      <c r="D338" t="s">
        <v>15</v>
      </c>
      <c r="E338" t="s">
        <v>48</v>
      </c>
      <c r="F338">
        <v>92465</v>
      </c>
      <c r="G338">
        <f>+YEAR(Tabla__192.168.1.8_POSEIDONSQL_APPFVT_01_SQLFacturasRendidas[[#This Row],[f_facturacion]])</f>
        <v>2018</v>
      </c>
      <c r="H33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338">
        <f>+IF(Tabla__192.168.1.8_POSEIDONSQL_APPFVT_01_SQLFacturasRendidas[[#This Row],[epc_nombre]]="RENDIDA",1,0)</f>
        <v>1</v>
      </c>
      <c r="J338">
        <f>+IF(Tabla__192.168.1.8_POSEIDONSQL_APPFVT_01_SQLFacturasRendidas[[#This Row],[usu_codigo]]="","",1)</f>
        <v>1</v>
      </c>
    </row>
    <row r="339" spans="1:10" x14ac:dyDescent="0.25">
      <c r="A339">
        <v>1</v>
      </c>
      <c r="B339">
        <v>3</v>
      </c>
      <c r="C339" t="s">
        <v>12</v>
      </c>
      <c r="D339" t="s">
        <v>15</v>
      </c>
      <c r="E339" t="s">
        <v>48</v>
      </c>
      <c r="F339">
        <v>92466</v>
      </c>
      <c r="G339">
        <f>+YEAR(Tabla__192.168.1.8_POSEIDONSQL_APPFVT_01_SQLFacturasRendidas[[#This Row],[f_facturacion]])</f>
        <v>2018</v>
      </c>
      <c r="H33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339">
        <f>+IF(Tabla__192.168.1.8_POSEIDONSQL_APPFVT_01_SQLFacturasRendidas[[#This Row],[epc_nombre]]="RENDIDA",1,0)</f>
        <v>1</v>
      </c>
      <c r="J339">
        <f>+IF(Tabla__192.168.1.8_POSEIDONSQL_APPFVT_01_SQLFacturasRendidas[[#This Row],[usu_codigo]]="","",1)</f>
        <v>1</v>
      </c>
    </row>
    <row r="340" spans="1:10" x14ac:dyDescent="0.25">
      <c r="A340">
        <v>1</v>
      </c>
      <c r="B340">
        <v>3</v>
      </c>
      <c r="C340" t="s">
        <v>12</v>
      </c>
      <c r="D340" t="s">
        <v>23</v>
      </c>
      <c r="E340" t="s">
        <v>48</v>
      </c>
      <c r="F340">
        <v>92467</v>
      </c>
      <c r="G340">
        <f>+YEAR(Tabla__192.168.1.8_POSEIDONSQL_APPFVT_01_SQLFacturasRendidas[[#This Row],[f_facturacion]])</f>
        <v>2018</v>
      </c>
      <c r="H34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340">
        <f>+IF(Tabla__192.168.1.8_POSEIDONSQL_APPFVT_01_SQLFacturasRendidas[[#This Row],[epc_nombre]]="RENDIDA",1,0)</f>
        <v>0</v>
      </c>
      <c r="J340">
        <f>+IF(Tabla__192.168.1.8_POSEIDONSQL_APPFVT_01_SQLFacturasRendidas[[#This Row],[usu_codigo]]="","",1)</f>
        <v>1</v>
      </c>
    </row>
    <row r="341" spans="1:10" x14ac:dyDescent="0.25">
      <c r="A341">
        <v>1</v>
      </c>
      <c r="B341">
        <v>3</v>
      </c>
      <c r="C341" t="s">
        <v>12</v>
      </c>
      <c r="D341" t="s">
        <v>15</v>
      </c>
      <c r="E341" t="s">
        <v>48</v>
      </c>
      <c r="F341">
        <v>92468</v>
      </c>
      <c r="G341">
        <f>+YEAR(Tabla__192.168.1.8_POSEIDONSQL_APPFVT_01_SQLFacturasRendidas[[#This Row],[f_facturacion]])</f>
        <v>2018</v>
      </c>
      <c r="H34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341">
        <f>+IF(Tabla__192.168.1.8_POSEIDONSQL_APPFVT_01_SQLFacturasRendidas[[#This Row],[epc_nombre]]="RENDIDA",1,0)</f>
        <v>1</v>
      </c>
      <c r="J341">
        <f>+IF(Tabla__192.168.1.8_POSEIDONSQL_APPFVT_01_SQLFacturasRendidas[[#This Row],[usu_codigo]]="","",1)</f>
        <v>1</v>
      </c>
    </row>
    <row r="342" spans="1:10" x14ac:dyDescent="0.25">
      <c r="A342">
        <v>1</v>
      </c>
      <c r="B342">
        <v>3</v>
      </c>
      <c r="C342" t="s">
        <v>12</v>
      </c>
      <c r="D342" t="s">
        <v>15</v>
      </c>
      <c r="E342" t="s">
        <v>48</v>
      </c>
      <c r="F342">
        <v>92469</v>
      </c>
      <c r="G342">
        <f>+YEAR(Tabla__192.168.1.8_POSEIDONSQL_APPFVT_01_SQLFacturasRendidas[[#This Row],[f_facturacion]])</f>
        <v>2018</v>
      </c>
      <c r="H34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342">
        <f>+IF(Tabla__192.168.1.8_POSEIDONSQL_APPFVT_01_SQLFacturasRendidas[[#This Row],[epc_nombre]]="RENDIDA",1,0)</f>
        <v>1</v>
      </c>
      <c r="J342">
        <f>+IF(Tabla__192.168.1.8_POSEIDONSQL_APPFVT_01_SQLFacturasRendidas[[#This Row],[usu_codigo]]="","",1)</f>
        <v>1</v>
      </c>
    </row>
    <row r="343" spans="1:10" x14ac:dyDescent="0.25">
      <c r="A343">
        <v>1</v>
      </c>
      <c r="B343">
        <v>3</v>
      </c>
      <c r="C343" t="s">
        <v>12</v>
      </c>
      <c r="D343" t="s">
        <v>15</v>
      </c>
      <c r="E343" t="s">
        <v>49</v>
      </c>
      <c r="F343">
        <v>92565</v>
      </c>
      <c r="G343">
        <f>+YEAR(Tabla__192.168.1.8_POSEIDONSQL_APPFVT_01_SQLFacturasRendidas[[#This Row],[f_facturacion]])</f>
        <v>2018</v>
      </c>
      <c r="H34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343">
        <f>+IF(Tabla__192.168.1.8_POSEIDONSQL_APPFVT_01_SQLFacturasRendidas[[#This Row],[epc_nombre]]="RENDIDA",1,0)</f>
        <v>1</v>
      </c>
      <c r="J343">
        <f>+IF(Tabla__192.168.1.8_POSEIDONSQL_APPFVT_01_SQLFacturasRendidas[[#This Row],[usu_codigo]]="","",1)</f>
        <v>1</v>
      </c>
    </row>
    <row r="344" spans="1:10" x14ac:dyDescent="0.25">
      <c r="A344">
        <v>1</v>
      </c>
      <c r="B344">
        <v>3</v>
      </c>
      <c r="C344" t="s">
        <v>12</v>
      </c>
      <c r="D344" t="s">
        <v>15</v>
      </c>
      <c r="E344" t="s">
        <v>49</v>
      </c>
      <c r="F344">
        <v>92566</v>
      </c>
      <c r="G344">
        <f>+YEAR(Tabla__192.168.1.8_POSEIDONSQL_APPFVT_01_SQLFacturasRendidas[[#This Row],[f_facturacion]])</f>
        <v>2018</v>
      </c>
      <c r="H34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344">
        <f>+IF(Tabla__192.168.1.8_POSEIDONSQL_APPFVT_01_SQLFacturasRendidas[[#This Row],[epc_nombre]]="RENDIDA",1,0)</f>
        <v>1</v>
      </c>
      <c r="J344">
        <f>+IF(Tabla__192.168.1.8_POSEIDONSQL_APPFVT_01_SQLFacturasRendidas[[#This Row],[usu_codigo]]="","",1)</f>
        <v>1</v>
      </c>
    </row>
    <row r="345" spans="1:10" x14ac:dyDescent="0.25">
      <c r="A345">
        <v>1</v>
      </c>
      <c r="B345">
        <v>3</v>
      </c>
      <c r="C345" t="s">
        <v>12</v>
      </c>
      <c r="D345" t="s">
        <v>15</v>
      </c>
      <c r="E345" t="s">
        <v>49</v>
      </c>
      <c r="F345">
        <v>92567</v>
      </c>
      <c r="G345">
        <f>+YEAR(Tabla__192.168.1.8_POSEIDONSQL_APPFVT_01_SQLFacturasRendidas[[#This Row],[f_facturacion]])</f>
        <v>2018</v>
      </c>
      <c r="H34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345">
        <f>+IF(Tabla__192.168.1.8_POSEIDONSQL_APPFVT_01_SQLFacturasRendidas[[#This Row],[epc_nombre]]="RENDIDA",1,0)</f>
        <v>1</v>
      </c>
      <c r="J345">
        <f>+IF(Tabla__192.168.1.8_POSEIDONSQL_APPFVT_01_SQLFacturasRendidas[[#This Row],[usu_codigo]]="","",1)</f>
        <v>1</v>
      </c>
    </row>
    <row r="346" spans="1:10" x14ac:dyDescent="0.25">
      <c r="A346">
        <v>1</v>
      </c>
      <c r="B346">
        <v>3</v>
      </c>
      <c r="C346" t="s">
        <v>12</v>
      </c>
      <c r="D346" t="s">
        <v>15</v>
      </c>
      <c r="E346" t="s">
        <v>49</v>
      </c>
      <c r="F346">
        <v>92568</v>
      </c>
      <c r="G346">
        <f>+YEAR(Tabla__192.168.1.8_POSEIDONSQL_APPFVT_01_SQLFacturasRendidas[[#This Row],[f_facturacion]])</f>
        <v>2018</v>
      </c>
      <c r="H34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346">
        <f>+IF(Tabla__192.168.1.8_POSEIDONSQL_APPFVT_01_SQLFacturasRendidas[[#This Row],[epc_nombre]]="RENDIDA",1,0)</f>
        <v>1</v>
      </c>
      <c r="J346">
        <f>+IF(Tabla__192.168.1.8_POSEIDONSQL_APPFVT_01_SQLFacturasRendidas[[#This Row],[usu_codigo]]="","",1)</f>
        <v>1</v>
      </c>
    </row>
    <row r="347" spans="1:10" x14ac:dyDescent="0.25">
      <c r="A347">
        <v>1</v>
      </c>
      <c r="B347">
        <v>3</v>
      </c>
      <c r="C347" t="s">
        <v>12</v>
      </c>
      <c r="D347" t="s">
        <v>15</v>
      </c>
      <c r="E347" t="s">
        <v>49</v>
      </c>
      <c r="F347">
        <v>92569</v>
      </c>
      <c r="G347">
        <f>+YEAR(Tabla__192.168.1.8_POSEIDONSQL_APPFVT_01_SQLFacturasRendidas[[#This Row],[f_facturacion]])</f>
        <v>2018</v>
      </c>
      <c r="H34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347">
        <f>+IF(Tabla__192.168.1.8_POSEIDONSQL_APPFVT_01_SQLFacturasRendidas[[#This Row],[epc_nombre]]="RENDIDA",1,0)</f>
        <v>1</v>
      </c>
      <c r="J347">
        <f>+IF(Tabla__192.168.1.8_POSEIDONSQL_APPFVT_01_SQLFacturasRendidas[[#This Row],[usu_codigo]]="","",1)</f>
        <v>1</v>
      </c>
    </row>
    <row r="348" spans="1:10" x14ac:dyDescent="0.25">
      <c r="A348">
        <v>1</v>
      </c>
      <c r="B348">
        <v>3</v>
      </c>
      <c r="C348" t="s">
        <v>12</v>
      </c>
      <c r="D348" t="s">
        <v>15</v>
      </c>
      <c r="E348" t="s">
        <v>67</v>
      </c>
      <c r="F348">
        <v>92615</v>
      </c>
      <c r="G348">
        <f>+YEAR(Tabla__192.168.1.8_POSEIDONSQL_APPFVT_01_SQLFacturasRendidas[[#This Row],[f_facturacion]])</f>
        <v>2018</v>
      </c>
      <c r="H34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348">
        <f>+IF(Tabla__192.168.1.8_POSEIDONSQL_APPFVT_01_SQLFacturasRendidas[[#This Row],[epc_nombre]]="RENDIDA",1,0)</f>
        <v>1</v>
      </c>
      <c r="J348">
        <f>+IF(Tabla__192.168.1.8_POSEIDONSQL_APPFVT_01_SQLFacturasRendidas[[#This Row],[usu_codigo]]="","",1)</f>
        <v>1</v>
      </c>
    </row>
    <row r="349" spans="1:10" x14ac:dyDescent="0.25">
      <c r="A349">
        <v>1</v>
      </c>
      <c r="B349">
        <v>3</v>
      </c>
      <c r="C349" t="s">
        <v>12</v>
      </c>
      <c r="D349" t="s">
        <v>15</v>
      </c>
      <c r="E349" t="s">
        <v>67</v>
      </c>
      <c r="F349">
        <v>92616</v>
      </c>
      <c r="G349">
        <f>+YEAR(Tabla__192.168.1.8_POSEIDONSQL_APPFVT_01_SQLFacturasRendidas[[#This Row],[f_facturacion]])</f>
        <v>2018</v>
      </c>
      <c r="H34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349">
        <f>+IF(Tabla__192.168.1.8_POSEIDONSQL_APPFVT_01_SQLFacturasRendidas[[#This Row],[epc_nombre]]="RENDIDA",1,0)</f>
        <v>1</v>
      </c>
      <c r="J349">
        <f>+IF(Tabla__192.168.1.8_POSEIDONSQL_APPFVT_01_SQLFacturasRendidas[[#This Row],[usu_codigo]]="","",1)</f>
        <v>1</v>
      </c>
    </row>
    <row r="350" spans="1:10" x14ac:dyDescent="0.25">
      <c r="A350">
        <v>1</v>
      </c>
      <c r="B350">
        <v>3</v>
      </c>
      <c r="C350" t="s">
        <v>12</v>
      </c>
      <c r="D350" t="s">
        <v>15</v>
      </c>
      <c r="E350" t="s">
        <v>51</v>
      </c>
      <c r="F350">
        <v>92809</v>
      </c>
      <c r="G350">
        <f>+YEAR(Tabla__192.168.1.8_POSEIDONSQL_APPFVT_01_SQLFacturasRendidas[[#This Row],[f_facturacion]])</f>
        <v>2018</v>
      </c>
      <c r="H35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350">
        <f>+IF(Tabla__192.168.1.8_POSEIDONSQL_APPFVT_01_SQLFacturasRendidas[[#This Row],[epc_nombre]]="RENDIDA",1,0)</f>
        <v>1</v>
      </c>
      <c r="J350">
        <f>+IF(Tabla__192.168.1.8_POSEIDONSQL_APPFVT_01_SQLFacturasRendidas[[#This Row],[usu_codigo]]="","",1)</f>
        <v>1</v>
      </c>
    </row>
    <row r="351" spans="1:10" x14ac:dyDescent="0.25">
      <c r="A351">
        <v>1</v>
      </c>
      <c r="B351">
        <v>3</v>
      </c>
      <c r="C351" t="s">
        <v>12</v>
      </c>
      <c r="D351" t="s">
        <v>15</v>
      </c>
      <c r="E351" t="s">
        <v>52</v>
      </c>
      <c r="F351">
        <v>92880</v>
      </c>
      <c r="G351">
        <f>+YEAR(Tabla__192.168.1.8_POSEIDONSQL_APPFVT_01_SQLFacturasRendidas[[#This Row],[f_facturacion]])</f>
        <v>2018</v>
      </c>
      <c r="H35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351">
        <f>+IF(Tabla__192.168.1.8_POSEIDONSQL_APPFVT_01_SQLFacturasRendidas[[#This Row],[epc_nombre]]="RENDIDA",1,0)</f>
        <v>1</v>
      </c>
      <c r="J351">
        <f>+IF(Tabla__192.168.1.8_POSEIDONSQL_APPFVT_01_SQLFacturasRendidas[[#This Row],[usu_codigo]]="","",1)</f>
        <v>1</v>
      </c>
    </row>
    <row r="352" spans="1:10" x14ac:dyDescent="0.25">
      <c r="A352">
        <v>1</v>
      </c>
      <c r="B352">
        <v>3</v>
      </c>
      <c r="C352" t="s">
        <v>12</v>
      </c>
      <c r="D352" t="s">
        <v>15</v>
      </c>
      <c r="E352" t="s">
        <v>52</v>
      </c>
      <c r="F352">
        <v>92881</v>
      </c>
      <c r="G352">
        <f>+YEAR(Tabla__192.168.1.8_POSEIDONSQL_APPFVT_01_SQLFacturasRendidas[[#This Row],[f_facturacion]])</f>
        <v>2018</v>
      </c>
      <c r="H35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352">
        <f>+IF(Tabla__192.168.1.8_POSEIDONSQL_APPFVT_01_SQLFacturasRendidas[[#This Row],[epc_nombre]]="RENDIDA",1,0)</f>
        <v>1</v>
      </c>
      <c r="J352">
        <f>+IF(Tabla__192.168.1.8_POSEIDONSQL_APPFVT_01_SQLFacturasRendidas[[#This Row],[usu_codigo]]="","",1)</f>
        <v>1</v>
      </c>
    </row>
    <row r="353" spans="1:10" x14ac:dyDescent="0.25">
      <c r="A353">
        <v>1</v>
      </c>
      <c r="B353">
        <v>3</v>
      </c>
      <c r="C353" t="s">
        <v>12</v>
      </c>
      <c r="D353" t="s">
        <v>15</v>
      </c>
      <c r="E353" t="s">
        <v>68</v>
      </c>
      <c r="F353">
        <v>92993</v>
      </c>
      <c r="G353">
        <f>+YEAR(Tabla__192.168.1.8_POSEIDONSQL_APPFVT_01_SQLFacturasRendidas[[#This Row],[f_facturacion]])</f>
        <v>2018</v>
      </c>
      <c r="H35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353">
        <f>+IF(Tabla__192.168.1.8_POSEIDONSQL_APPFVT_01_SQLFacturasRendidas[[#This Row],[epc_nombre]]="RENDIDA",1,0)</f>
        <v>1</v>
      </c>
      <c r="J353">
        <f>+IF(Tabla__192.168.1.8_POSEIDONSQL_APPFVT_01_SQLFacturasRendidas[[#This Row],[usu_codigo]]="","",1)</f>
        <v>1</v>
      </c>
    </row>
    <row r="354" spans="1:10" x14ac:dyDescent="0.25">
      <c r="A354">
        <v>1</v>
      </c>
      <c r="B354">
        <v>3</v>
      </c>
      <c r="C354" t="s">
        <v>12</v>
      </c>
      <c r="D354" t="s">
        <v>15</v>
      </c>
      <c r="E354" t="s">
        <v>68</v>
      </c>
      <c r="F354">
        <v>92994</v>
      </c>
      <c r="G354">
        <f>+YEAR(Tabla__192.168.1.8_POSEIDONSQL_APPFVT_01_SQLFacturasRendidas[[#This Row],[f_facturacion]])</f>
        <v>2018</v>
      </c>
      <c r="H35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354">
        <f>+IF(Tabla__192.168.1.8_POSEIDONSQL_APPFVT_01_SQLFacturasRendidas[[#This Row],[epc_nombre]]="RENDIDA",1,0)</f>
        <v>1</v>
      </c>
      <c r="J354">
        <f>+IF(Tabla__192.168.1.8_POSEIDONSQL_APPFVT_01_SQLFacturasRendidas[[#This Row],[usu_codigo]]="","",1)</f>
        <v>1</v>
      </c>
    </row>
    <row r="355" spans="1:10" x14ac:dyDescent="0.25">
      <c r="A355">
        <v>1</v>
      </c>
      <c r="B355">
        <v>3</v>
      </c>
      <c r="C355" t="s">
        <v>12</v>
      </c>
      <c r="D355" t="s">
        <v>15</v>
      </c>
      <c r="E355" t="s">
        <v>68</v>
      </c>
      <c r="F355">
        <v>92995</v>
      </c>
      <c r="G355">
        <f>+YEAR(Tabla__192.168.1.8_POSEIDONSQL_APPFVT_01_SQLFacturasRendidas[[#This Row],[f_facturacion]])</f>
        <v>2018</v>
      </c>
      <c r="H35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355">
        <f>+IF(Tabla__192.168.1.8_POSEIDONSQL_APPFVT_01_SQLFacturasRendidas[[#This Row],[epc_nombre]]="RENDIDA",1,0)</f>
        <v>1</v>
      </c>
      <c r="J355">
        <f>+IF(Tabla__192.168.1.8_POSEIDONSQL_APPFVT_01_SQLFacturasRendidas[[#This Row],[usu_codigo]]="","",1)</f>
        <v>1</v>
      </c>
    </row>
    <row r="356" spans="1:10" x14ac:dyDescent="0.25">
      <c r="A356">
        <v>1</v>
      </c>
      <c r="B356">
        <v>3</v>
      </c>
      <c r="C356" t="s">
        <v>12</v>
      </c>
      <c r="D356" t="s">
        <v>15</v>
      </c>
      <c r="E356" t="s">
        <v>68</v>
      </c>
      <c r="F356">
        <v>92996</v>
      </c>
      <c r="G356">
        <f>+YEAR(Tabla__192.168.1.8_POSEIDONSQL_APPFVT_01_SQLFacturasRendidas[[#This Row],[f_facturacion]])</f>
        <v>2018</v>
      </c>
      <c r="H35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356">
        <f>+IF(Tabla__192.168.1.8_POSEIDONSQL_APPFVT_01_SQLFacturasRendidas[[#This Row],[epc_nombre]]="RENDIDA",1,0)</f>
        <v>1</v>
      </c>
      <c r="J356">
        <f>+IF(Tabla__192.168.1.8_POSEIDONSQL_APPFVT_01_SQLFacturasRendidas[[#This Row],[usu_codigo]]="","",1)</f>
        <v>1</v>
      </c>
    </row>
    <row r="357" spans="1:10" x14ac:dyDescent="0.25">
      <c r="A357">
        <v>1</v>
      </c>
      <c r="B357">
        <v>3</v>
      </c>
      <c r="C357" t="s">
        <v>12</v>
      </c>
      <c r="D357" t="s">
        <v>15</v>
      </c>
      <c r="E357" t="s">
        <v>75</v>
      </c>
      <c r="F357">
        <v>93933</v>
      </c>
      <c r="G357">
        <f>+YEAR(Tabla__192.168.1.8_POSEIDONSQL_APPFVT_01_SQLFacturasRendidas[[#This Row],[f_facturacion]])</f>
        <v>2018</v>
      </c>
      <c r="H35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357">
        <f>+IF(Tabla__192.168.1.8_POSEIDONSQL_APPFVT_01_SQLFacturasRendidas[[#This Row],[epc_nombre]]="RENDIDA",1,0)</f>
        <v>1</v>
      </c>
      <c r="J357">
        <f>+IF(Tabla__192.168.1.8_POSEIDONSQL_APPFVT_01_SQLFacturasRendidas[[#This Row],[usu_codigo]]="","",1)</f>
        <v>1</v>
      </c>
    </row>
    <row r="358" spans="1:10" x14ac:dyDescent="0.25">
      <c r="A358">
        <v>1</v>
      </c>
      <c r="B358">
        <v>3</v>
      </c>
      <c r="C358" t="s">
        <v>12</v>
      </c>
      <c r="D358" t="s">
        <v>15</v>
      </c>
      <c r="E358" t="s">
        <v>75</v>
      </c>
      <c r="F358">
        <v>93934</v>
      </c>
      <c r="G358">
        <f>+YEAR(Tabla__192.168.1.8_POSEIDONSQL_APPFVT_01_SQLFacturasRendidas[[#This Row],[f_facturacion]])</f>
        <v>2018</v>
      </c>
      <c r="H35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358">
        <f>+IF(Tabla__192.168.1.8_POSEIDONSQL_APPFVT_01_SQLFacturasRendidas[[#This Row],[epc_nombre]]="RENDIDA",1,0)</f>
        <v>1</v>
      </c>
      <c r="J358">
        <f>+IF(Tabla__192.168.1.8_POSEIDONSQL_APPFVT_01_SQLFacturasRendidas[[#This Row],[usu_codigo]]="","",1)</f>
        <v>1</v>
      </c>
    </row>
    <row r="359" spans="1:10" x14ac:dyDescent="0.25">
      <c r="A359">
        <v>1</v>
      </c>
      <c r="B359">
        <v>3</v>
      </c>
      <c r="C359" t="s">
        <v>12</v>
      </c>
      <c r="D359" t="s">
        <v>15</v>
      </c>
      <c r="E359" t="s">
        <v>75</v>
      </c>
      <c r="F359">
        <v>93935</v>
      </c>
      <c r="G359">
        <f>+YEAR(Tabla__192.168.1.8_POSEIDONSQL_APPFVT_01_SQLFacturasRendidas[[#This Row],[f_facturacion]])</f>
        <v>2018</v>
      </c>
      <c r="H35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359">
        <f>+IF(Tabla__192.168.1.8_POSEIDONSQL_APPFVT_01_SQLFacturasRendidas[[#This Row],[epc_nombre]]="RENDIDA",1,0)</f>
        <v>1</v>
      </c>
      <c r="J359">
        <f>+IF(Tabla__192.168.1.8_POSEIDONSQL_APPFVT_01_SQLFacturasRendidas[[#This Row],[usu_codigo]]="","",1)</f>
        <v>1</v>
      </c>
    </row>
    <row r="360" spans="1:10" x14ac:dyDescent="0.25">
      <c r="A360">
        <v>1</v>
      </c>
      <c r="B360">
        <v>3</v>
      </c>
      <c r="C360" t="s">
        <v>12</v>
      </c>
      <c r="D360" t="s">
        <v>15</v>
      </c>
      <c r="E360" t="s">
        <v>75</v>
      </c>
      <c r="F360">
        <v>93979</v>
      </c>
      <c r="G360">
        <f>+YEAR(Tabla__192.168.1.8_POSEIDONSQL_APPFVT_01_SQLFacturasRendidas[[#This Row],[f_facturacion]])</f>
        <v>2018</v>
      </c>
      <c r="H36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360">
        <f>+IF(Tabla__192.168.1.8_POSEIDONSQL_APPFVT_01_SQLFacturasRendidas[[#This Row],[epc_nombre]]="RENDIDA",1,0)</f>
        <v>1</v>
      </c>
      <c r="J360">
        <f>+IF(Tabla__192.168.1.8_POSEIDONSQL_APPFVT_01_SQLFacturasRendidas[[#This Row],[usu_codigo]]="","",1)</f>
        <v>1</v>
      </c>
    </row>
    <row r="361" spans="1:10" x14ac:dyDescent="0.25">
      <c r="A361">
        <v>1</v>
      </c>
      <c r="B361">
        <v>3</v>
      </c>
      <c r="C361" t="s">
        <v>11</v>
      </c>
      <c r="D361" t="s">
        <v>15</v>
      </c>
      <c r="E361" t="s">
        <v>78</v>
      </c>
      <c r="F361">
        <v>3286</v>
      </c>
      <c r="G361">
        <f>+YEAR(Tabla__192.168.1.8_POSEIDONSQL_APPFVT_01_SQLFacturasRendidas[[#This Row],[f_facturacion]])</f>
        <v>2018</v>
      </c>
      <c r="H36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361">
        <f>+IF(Tabla__192.168.1.8_POSEIDONSQL_APPFVT_01_SQLFacturasRendidas[[#This Row],[epc_nombre]]="RENDIDA",1,0)</f>
        <v>1</v>
      </c>
      <c r="J361">
        <f>+IF(Tabla__192.168.1.8_POSEIDONSQL_APPFVT_01_SQLFacturasRendidas[[#This Row],[usu_codigo]]="","",1)</f>
        <v>1</v>
      </c>
    </row>
    <row r="362" spans="1:10" x14ac:dyDescent="0.25">
      <c r="A362">
        <v>1</v>
      </c>
      <c r="B362">
        <v>3</v>
      </c>
      <c r="C362" t="s">
        <v>11</v>
      </c>
      <c r="D362" t="s">
        <v>15</v>
      </c>
      <c r="E362" t="s">
        <v>76</v>
      </c>
      <c r="F362">
        <v>3289</v>
      </c>
      <c r="G362">
        <f>+YEAR(Tabla__192.168.1.8_POSEIDONSQL_APPFVT_01_SQLFacturasRendidas[[#This Row],[f_facturacion]])</f>
        <v>2018</v>
      </c>
      <c r="H36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362">
        <f>+IF(Tabla__192.168.1.8_POSEIDONSQL_APPFVT_01_SQLFacturasRendidas[[#This Row],[epc_nombre]]="RENDIDA",1,0)</f>
        <v>1</v>
      </c>
      <c r="J362">
        <f>+IF(Tabla__192.168.1.8_POSEIDONSQL_APPFVT_01_SQLFacturasRendidas[[#This Row],[usu_codigo]]="","",1)</f>
        <v>1</v>
      </c>
    </row>
    <row r="363" spans="1:10" x14ac:dyDescent="0.25">
      <c r="A363">
        <v>1</v>
      </c>
      <c r="B363">
        <v>3</v>
      </c>
      <c r="C363" t="s">
        <v>11</v>
      </c>
      <c r="D363" t="s">
        <v>15</v>
      </c>
      <c r="E363" t="s">
        <v>76</v>
      </c>
      <c r="F363">
        <v>3290</v>
      </c>
      <c r="G363">
        <f>+YEAR(Tabla__192.168.1.8_POSEIDONSQL_APPFVT_01_SQLFacturasRendidas[[#This Row],[f_facturacion]])</f>
        <v>2018</v>
      </c>
      <c r="H36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363">
        <f>+IF(Tabla__192.168.1.8_POSEIDONSQL_APPFVT_01_SQLFacturasRendidas[[#This Row],[epc_nombre]]="RENDIDA",1,0)</f>
        <v>1</v>
      </c>
      <c r="J363">
        <f>+IF(Tabla__192.168.1.8_POSEIDONSQL_APPFVT_01_SQLFacturasRendidas[[#This Row],[usu_codigo]]="","",1)</f>
        <v>1</v>
      </c>
    </row>
    <row r="364" spans="1:10" x14ac:dyDescent="0.25">
      <c r="A364">
        <v>1</v>
      </c>
      <c r="B364">
        <v>3</v>
      </c>
      <c r="C364" t="s">
        <v>11</v>
      </c>
      <c r="D364" t="s">
        <v>15</v>
      </c>
      <c r="E364" t="s">
        <v>76</v>
      </c>
      <c r="F364">
        <v>3291</v>
      </c>
      <c r="G364">
        <f>+YEAR(Tabla__192.168.1.8_POSEIDONSQL_APPFVT_01_SQLFacturasRendidas[[#This Row],[f_facturacion]])</f>
        <v>2018</v>
      </c>
      <c r="H36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364">
        <f>+IF(Tabla__192.168.1.8_POSEIDONSQL_APPFVT_01_SQLFacturasRendidas[[#This Row],[epc_nombre]]="RENDIDA",1,0)</f>
        <v>1</v>
      </c>
      <c r="J364">
        <f>+IF(Tabla__192.168.1.8_POSEIDONSQL_APPFVT_01_SQLFacturasRendidas[[#This Row],[usu_codigo]]="","",1)</f>
        <v>1</v>
      </c>
    </row>
    <row r="365" spans="1:10" x14ac:dyDescent="0.25">
      <c r="A365">
        <v>1</v>
      </c>
      <c r="B365">
        <v>3</v>
      </c>
      <c r="C365" t="s">
        <v>11</v>
      </c>
      <c r="D365" t="s">
        <v>15</v>
      </c>
      <c r="E365" t="s">
        <v>76</v>
      </c>
      <c r="F365">
        <v>3292</v>
      </c>
      <c r="G365">
        <f>+YEAR(Tabla__192.168.1.8_POSEIDONSQL_APPFVT_01_SQLFacturasRendidas[[#This Row],[f_facturacion]])</f>
        <v>2018</v>
      </c>
      <c r="H36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365">
        <f>+IF(Tabla__192.168.1.8_POSEIDONSQL_APPFVT_01_SQLFacturasRendidas[[#This Row],[epc_nombre]]="RENDIDA",1,0)</f>
        <v>1</v>
      </c>
      <c r="J365">
        <f>+IF(Tabla__192.168.1.8_POSEIDONSQL_APPFVT_01_SQLFacturasRendidas[[#This Row],[usu_codigo]]="","",1)</f>
        <v>1</v>
      </c>
    </row>
    <row r="366" spans="1:10" x14ac:dyDescent="0.25">
      <c r="A366">
        <v>1</v>
      </c>
      <c r="B366">
        <v>3</v>
      </c>
      <c r="C366" t="s">
        <v>11</v>
      </c>
      <c r="D366" t="s">
        <v>15</v>
      </c>
      <c r="E366" t="s">
        <v>76</v>
      </c>
      <c r="F366">
        <v>3293</v>
      </c>
      <c r="G366">
        <f>+YEAR(Tabla__192.168.1.8_POSEIDONSQL_APPFVT_01_SQLFacturasRendidas[[#This Row],[f_facturacion]])</f>
        <v>2018</v>
      </c>
      <c r="H36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366">
        <f>+IF(Tabla__192.168.1.8_POSEIDONSQL_APPFVT_01_SQLFacturasRendidas[[#This Row],[epc_nombre]]="RENDIDA",1,0)</f>
        <v>1</v>
      </c>
      <c r="J366">
        <f>+IF(Tabla__192.168.1.8_POSEIDONSQL_APPFVT_01_SQLFacturasRendidas[[#This Row],[usu_codigo]]="","",1)</f>
        <v>1</v>
      </c>
    </row>
    <row r="367" spans="1:10" x14ac:dyDescent="0.25">
      <c r="A367">
        <v>1</v>
      </c>
      <c r="B367">
        <v>3</v>
      </c>
      <c r="C367" t="s">
        <v>11</v>
      </c>
      <c r="D367" t="s">
        <v>15</v>
      </c>
      <c r="E367" t="s">
        <v>76</v>
      </c>
      <c r="F367">
        <v>3294</v>
      </c>
      <c r="G367">
        <f>+YEAR(Tabla__192.168.1.8_POSEIDONSQL_APPFVT_01_SQLFacturasRendidas[[#This Row],[f_facturacion]])</f>
        <v>2018</v>
      </c>
      <c r="H36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367">
        <f>+IF(Tabla__192.168.1.8_POSEIDONSQL_APPFVT_01_SQLFacturasRendidas[[#This Row],[epc_nombre]]="RENDIDA",1,0)</f>
        <v>1</v>
      </c>
      <c r="J367">
        <f>+IF(Tabla__192.168.1.8_POSEIDONSQL_APPFVT_01_SQLFacturasRendidas[[#This Row],[usu_codigo]]="","",1)</f>
        <v>1</v>
      </c>
    </row>
    <row r="368" spans="1:10" x14ac:dyDescent="0.25">
      <c r="A368">
        <v>1</v>
      </c>
      <c r="B368">
        <v>3</v>
      </c>
      <c r="C368" t="s">
        <v>11</v>
      </c>
      <c r="D368" t="s">
        <v>15</v>
      </c>
      <c r="E368" t="s">
        <v>76</v>
      </c>
      <c r="F368">
        <v>3295</v>
      </c>
      <c r="G368">
        <f>+YEAR(Tabla__192.168.1.8_POSEIDONSQL_APPFVT_01_SQLFacturasRendidas[[#This Row],[f_facturacion]])</f>
        <v>2018</v>
      </c>
      <c r="H36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368">
        <f>+IF(Tabla__192.168.1.8_POSEIDONSQL_APPFVT_01_SQLFacturasRendidas[[#This Row],[epc_nombre]]="RENDIDA",1,0)</f>
        <v>1</v>
      </c>
      <c r="J368">
        <f>+IF(Tabla__192.168.1.8_POSEIDONSQL_APPFVT_01_SQLFacturasRendidas[[#This Row],[usu_codigo]]="","",1)</f>
        <v>1</v>
      </c>
    </row>
    <row r="369" spans="1:10" x14ac:dyDescent="0.25">
      <c r="A369">
        <v>1</v>
      </c>
      <c r="B369">
        <v>3</v>
      </c>
      <c r="C369" t="s">
        <v>11</v>
      </c>
      <c r="D369" t="s">
        <v>15</v>
      </c>
      <c r="E369" t="s">
        <v>76</v>
      </c>
      <c r="F369">
        <v>3296</v>
      </c>
      <c r="G369">
        <f>+YEAR(Tabla__192.168.1.8_POSEIDONSQL_APPFVT_01_SQLFacturasRendidas[[#This Row],[f_facturacion]])</f>
        <v>2018</v>
      </c>
      <c r="H36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369">
        <f>+IF(Tabla__192.168.1.8_POSEIDONSQL_APPFVT_01_SQLFacturasRendidas[[#This Row],[epc_nombre]]="RENDIDA",1,0)</f>
        <v>1</v>
      </c>
      <c r="J369">
        <f>+IF(Tabla__192.168.1.8_POSEIDONSQL_APPFVT_01_SQLFacturasRendidas[[#This Row],[usu_codigo]]="","",1)</f>
        <v>1</v>
      </c>
    </row>
    <row r="370" spans="1:10" x14ac:dyDescent="0.25">
      <c r="A370">
        <v>1</v>
      </c>
      <c r="B370">
        <v>3</v>
      </c>
      <c r="C370" t="s">
        <v>11</v>
      </c>
      <c r="D370" t="s">
        <v>15</v>
      </c>
      <c r="E370" t="s">
        <v>76</v>
      </c>
      <c r="F370">
        <v>3297</v>
      </c>
      <c r="G370">
        <f>+YEAR(Tabla__192.168.1.8_POSEIDONSQL_APPFVT_01_SQLFacturasRendidas[[#This Row],[f_facturacion]])</f>
        <v>2018</v>
      </c>
      <c r="H37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370">
        <f>+IF(Tabla__192.168.1.8_POSEIDONSQL_APPFVT_01_SQLFacturasRendidas[[#This Row],[epc_nombre]]="RENDIDA",1,0)</f>
        <v>1</v>
      </c>
      <c r="J370">
        <f>+IF(Tabla__192.168.1.8_POSEIDONSQL_APPFVT_01_SQLFacturasRendidas[[#This Row],[usu_codigo]]="","",1)</f>
        <v>1</v>
      </c>
    </row>
    <row r="371" spans="1:10" x14ac:dyDescent="0.25">
      <c r="A371">
        <v>1</v>
      </c>
      <c r="B371">
        <v>3</v>
      </c>
      <c r="C371" t="s">
        <v>11</v>
      </c>
      <c r="D371" t="s">
        <v>15</v>
      </c>
      <c r="E371" t="s">
        <v>76</v>
      </c>
      <c r="F371">
        <v>3298</v>
      </c>
      <c r="G371">
        <f>+YEAR(Tabla__192.168.1.8_POSEIDONSQL_APPFVT_01_SQLFacturasRendidas[[#This Row],[f_facturacion]])</f>
        <v>2018</v>
      </c>
      <c r="H37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371">
        <f>+IF(Tabla__192.168.1.8_POSEIDONSQL_APPFVT_01_SQLFacturasRendidas[[#This Row],[epc_nombre]]="RENDIDA",1,0)</f>
        <v>1</v>
      </c>
      <c r="J371">
        <f>+IF(Tabla__192.168.1.8_POSEIDONSQL_APPFVT_01_SQLFacturasRendidas[[#This Row],[usu_codigo]]="","",1)</f>
        <v>1</v>
      </c>
    </row>
    <row r="372" spans="1:10" x14ac:dyDescent="0.25">
      <c r="A372">
        <v>1</v>
      </c>
      <c r="B372">
        <v>3</v>
      </c>
      <c r="C372" t="s">
        <v>11</v>
      </c>
      <c r="D372" t="s">
        <v>15</v>
      </c>
      <c r="E372" t="s">
        <v>76</v>
      </c>
      <c r="F372">
        <v>3299</v>
      </c>
      <c r="G372">
        <f>+YEAR(Tabla__192.168.1.8_POSEIDONSQL_APPFVT_01_SQLFacturasRendidas[[#This Row],[f_facturacion]])</f>
        <v>2018</v>
      </c>
      <c r="H37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372">
        <f>+IF(Tabla__192.168.1.8_POSEIDONSQL_APPFVT_01_SQLFacturasRendidas[[#This Row],[epc_nombre]]="RENDIDA",1,0)</f>
        <v>1</v>
      </c>
      <c r="J372">
        <f>+IF(Tabla__192.168.1.8_POSEIDONSQL_APPFVT_01_SQLFacturasRendidas[[#This Row],[usu_codigo]]="","",1)</f>
        <v>1</v>
      </c>
    </row>
    <row r="373" spans="1:10" x14ac:dyDescent="0.25">
      <c r="A373">
        <v>1</v>
      </c>
      <c r="B373">
        <v>3</v>
      </c>
      <c r="C373" t="s">
        <v>11</v>
      </c>
      <c r="D373" t="s">
        <v>15</v>
      </c>
      <c r="E373" t="s">
        <v>76</v>
      </c>
      <c r="F373">
        <v>3300</v>
      </c>
      <c r="G373">
        <f>+YEAR(Tabla__192.168.1.8_POSEIDONSQL_APPFVT_01_SQLFacturasRendidas[[#This Row],[f_facturacion]])</f>
        <v>2018</v>
      </c>
      <c r="H37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373">
        <f>+IF(Tabla__192.168.1.8_POSEIDONSQL_APPFVT_01_SQLFacturasRendidas[[#This Row],[epc_nombre]]="RENDIDA",1,0)</f>
        <v>1</v>
      </c>
      <c r="J373">
        <f>+IF(Tabla__192.168.1.8_POSEIDONSQL_APPFVT_01_SQLFacturasRendidas[[#This Row],[usu_codigo]]="","",1)</f>
        <v>1</v>
      </c>
    </row>
    <row r="374" spans="1:10" x14ac:dyDescent="0.25">
      <c r="A374">
        <v>1</v>
      </c>
      <c r="B374">
        <v>3</v>
      </c>
      <c r="C374" t="s">
        <v>11</v>
      </c>
      <c r="D374" t="s">
        <v>15</v>
      </c>
      <c r="E374" t="s">
        <v>76</v>
      </c>
      <c r="F374">
        <v>3301</v>
      </c>
      <c r="G374">
        <f>+YEAR(Tabla__192.168.1.8_POSEIDONSQL_APPFVT_01_SQLFacturasRendidas[[#This Row],[f_facturacion]])</f>
        <v>2018</v>
      </c>
      <c r="H37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374">
        <f>+IF(Tabla__192.168.1.8_POSEIDONSQL_APPFVT_01_SQLFacturasRendidas[[#This Row],[epc_nombre]]="RENDIDA",1,0)</f>
        <v>1</v>
      </c>
      <c r="J374">
        <f>+IF(Tabla__192.168.1.8_POSEIDONSQL_APPFVT_01_SQLFacturasRendidas[[#This Row],[usu_codigo]]="","",1)</f>
        <v>1</v>
      </c>
    </row>
    <row r="375" spans="1:10" x14ac:dyDescent="0.25">
      <c r="A375">
        <v>1</v>
      </c>
      <c r="B375">
        <v>3</v>
      </c>
      <c r="C375" t="s">
        <v>11</v>
      </c>
      <c r="D375" t="s">
        <v>15</v>
      </c>
      <c r="E375" t="s">
        <v>76</v>
      </c>
      <c r="F375">
        <v>3302</v>
      </c>
      <c r="G375">
        <f>+YEAR(Tabla__192.168.1.8_POSEIDONSQL_APPFVT_01_SQLFacturasRendidas[[#This Row],[f_facturacion]])</f>
        <v>2018</v>
      </c>
      <c r="H37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375">
        <f>+IF(Tabla__192.168.1.8_POSEIDONSQL_APPFVT_01_SQLFacturasRendidas[[#This Row],[epc_nombre]]="RENDIDA",1,0)</f>
        <v>1</v>
      </c>
      <c r="J375">
        <f>+IF(Tabla__192.168.1.8_POSEIDONSQL_APPFVT_01_SQLFacturasRendidas[[#This Row],[usu_codigo]]="","",1)</f>
        <v>1</v>
      </c>
    </row>
    <row r="376" spans="1:10" x14ac:dyDescent="0.25">
      <c r="A376">
        <v>1</v>
      </c>
      <c r="B376">
        <v>3</v>
      </c>
      <c r="C376" t="s">
        <v>11</v>
      </c>
      <c r="D376" t="s">
        <v>15</v>
      </c>
      <c r="E376" t="s">
        <v>76</v>
      </c>
      <c r="F376">
        <v>3303</v>
      </c>
      <c r="G376">
        <f>+YEAR(Tabla__192.168.1.8_POSEIDONSQL_APPFVT_01_SQLFacturasRendidas[[#This Row],[f_facturacion]])</f>
        <v>2018</v>
      </c>
      <c r="H37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376">
        <f>+IF(Tabla__192.168.1.8_POSEIDONSQL_APPFVT_01_SQLFacturasRendidas[[#This Row],[epc_nombre]]="RENDIDA",1,0)</f>
        <v>1</v>
      </c>
      <c r="J376">
        <f>+IF(Tabla__192.168.1.8_POSEIDONSQL_APPFVT_01_SQLFacturasRendidas[[#This Row],[usu_codigo]]="","",1)</f>
        <v>1</v>
      </c>
    </row>
    <row r="377" spans="1:10" x14ac:dyDescent="0.25">
      <c r="A377">
        <v>1</v>
      </c>
      <c r="B377">
        <v>3</v>
      </c>
      <c r="C377" t="s">
        <v>11</v>
      </c>
      <c r="D377" t="s">
        <v>15</v>
      </c>
      <c r="E377" t="s">
        <v>76</v>
      </c>
      <c r="F377">
        <v>3304</v>
      </c>
      <c r="G377">
        <f>+YEAR(Tabla__192.168.1.8_POSEIDONSQL_APPFVT_01_SQLFacturasRendidas[[#This Row],[f_facturacion]])</f>
        <v>2018</v>
      </c>
      <c r="H37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377">
        <f>+IF(Tabla__192.168.1.8_POSEIDONSQL_APPFVT_01_SQLFacturasRendidas[[#This Row],[epc_nombre]]="RENDIDA",1,0)</f>
        <v>1</v>
      </c>
      <c r="J377">
        <f>+IF(Tabla__192.168.1.8_POSEIDONSQL_APPFVT_01_SQLFacturasRendidas[[#This Row],[usu_codigo]]="","",1)</f>
        <v>1</v>
      </c>
    </row>
    <row r="378" spans="1:10" x14ac:dyDescent="0.25">
      <c r="A378">
        <v>1</v>
      </c>
      <c r="B378">
        <v>3</v>
      </c>
      <c r="C378" t="s">
        <v>11</v>
      </c>
      <c r="D378" t="s">
        <v>15</v>
      </c>
      <c r="E378" t="s">
        <v>76</v>
      </c>
      <c r="F378">
        <v>3305</v>
      </c>
      <c r="G378">
        <f>+YEAR(Tabla__192.168.1.8_POSEIDONSQL_APPFVT_01_SQLFacturasRendidas[[#This Row],[f_facturacion]])</f>
        <v>2018</v>
      </c>
      <c r="H37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378">
        <f>+IF(Tabla__192.168.1.8_POSEIDONSQL_APPFVT_01_SQLFacturasRendidas[[#This Row],[epc_nombre]]="RENDIDA",1,0)</f>
        <v>1</v>
      </c>
      <c r="J378">
        <f>+IF(Tabla__192.168.1.8_POSEIDONSQL_APPFVT_01_SQLFacturasRendidas[[#This Row],[usu_codigo]]="","",1)</f>
        <v>1</v>
      </c>
    </row>
    <row r="379" spans="1:10" x14ac:dyDescent="0.25">
      <c r="A379">
        <v>1</v>
      </c>
      <c r="B379">
        <v>3</v>
      </c>
      <c r="C379" t="s">
        <v>11</v>
      </c>
      <c r="D379" t="s">
        <v>15</v>
      </c>
      <c r="E379" t="s">
        <v>76</v>
      </c>
      <c r="F379">
        <v>3306</v>
      </c>
      <c r="G379">
        <f>+YEAR(Tabla__192.168.1.8_POSEIDONSQL_APPFVT_01_SQLFacturasRendidas[[#This Row],[f_facturacion]])</f>
        <v>2018</v>
      </c>
      <c r="H37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379">
        <f>+IF(Tabla__192.168.1.8_POSEIDONSQL_APPFVT_01_SQLFacturasRendidas[[#This Row],[epc_nombre]]="RENDIDA",1,0)</f>
        <v>1</v>
      </c>
      <c r="J379">
        <f>+IF(Tabla__192.168.1.8_POSEIDONSQL_APPFVT_01_SQLFacturasRendidas[[#This Row],[usu_codigo]]="","",1)</f>
        <v>1</v>
      </c>
    </row>
    <row r="380" spans="1:10" x14ac:dyDescent="0.25">
      <c r="A380">
        <v>1</v>
      </c>
      <c r="B380">
        <v>3</v>
      </c>
      <c r="C380" t="s">
        <v>11</v>
      </c>
      <c r="D380" t="s">
        <v>15</v>
      </c>
      <c r="E380" t="s">
        <v>76</v>
      </c>
      <c r="F380">
        <v>3307</v>
      </c>
      <c r="G380">
        <f>+YEAR(Tabla__192.168.1.8_POSEIDONSQL_APPFVT_01_SQLFacturasRendidas[[#This Row],[f_facturacion]])</f>
        <v>2018</v>
      </c>
      <c r="H38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380">
        <f>+IF(Tabla__192.168.1.8_POSEIDONSQL_APPFVT_01_SQLFacturasRendidas[[#This Row],[epc_nombre]]="RENDIDA",1,0)</f>
        <v>1</v>
      </c>
      <c r="J380">
        <f>+IF(Tabla__192.168.1.8_POSEIDONSQL_APPFVT_01_SQLFacturasRendidas[[#This Row],[usu_codigo]]="","",1)</f>
        <v>1</v>
      </c>
    </row>
    <row r="381" spans="1:10" x14ac:dyDescent="0.25">
      <c r="A381">
        <v>1</v>
      </c>
      <c r="B381">
        <v>3</v>
      </c>
      <c r="C381" t="s">
        <v>11</v>
      </c>
      <c r="D381" t="s">
        <v>15</v>
      </c>
      <c r="E381" t="s">
        <v>76</v>
      </c>
      <c r="F381">
        <v>3308</v>
      </c>
      <c r="G381">
        <f>+YEAR(Tabla__192.168.1.8_POSEIDONSQL_APPFVT_01_SQLFacturasRendidas[[#This Row],[f_facturacion]])</f>
        <v>2018</v>
      </c>
      <c r="H38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381">
        <f>+IF(Tabla__192.168.1.8_POSEIDONSQL_APPFVT_01_SQLFacturasRendidas[[#This Row],[epc_nombre]]="RENDIDA",1,0)</f>
        <v>1</v>
      </c>
      <c r="J381">
        <f>+IF(Tabla__192.168.1.8_POSEIDONSQL_APPFVT_01_SQLFacturasRendidas[[#This Row],[usu_codigo]]="","",1)</f>
        <v>1</v>
      </c>
    </row>
    <row r="382" spans="1:10" x14ac:dyDescent="0.25">
      <c r="A382">
        <v>1</v>
      </c>
      <c r="B382">
        <v>3</v>
      </c>
      <c r="C382" t="s">
        <v>11</v>
      </c>
      <c r="D382" t="s">
        <v>15</v>
      </c>
      <c r="E382" t="s">
        <v>76</v>
      </c>
      <c r="F382">
        <v>3309</v>
      </c>
      <c r="G382">
        <f>+YEAR(Tabla__192.168.1.8_POSEIDONSQL_APPFVT_01_SQLFacturasRendidas[[#This Row],[f_facturacion]])</f>
        <v>2018</v>
      </c>
      <c r="H38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382">
        <f>+IF(Tabla__192.168.1.8_POSEIDONSQL_APPFVT_01_SQLFacturasRendidas[[#This Row],[epc_nombre]]="RENDIDA",1,0)</f>
        <v>1</v>
      </c>
      <c r="J382">
        <f>+IF(Tabla__192.168.1.8_POSEIDONSQL_APPFVT_01_SQLFacturasRendidas[[#This Row],[usu_codigo]]="","",1)</f>
        <v>1</v>
      </c>
    </row>
    <row r="383" spans="1:10" x14ac:dyDescent="0.25">
      <c r="A383">
        <v>1</v>
      </c>
      <c r="B383">
        <v>3</v>
      </c>
      <c r="C383" t="s">
        <v>11</v>
      </c>
      <c r="D383" t="s">
        <v>15</v>
      </c>
      <c r="E383" t="s">
        <v>76</v>
      </c>
      <c r="F383">
        <v>3310</v>
      </c>
      <c r="G383">
        <f>+YEAR(Tabla__192.168.1.8_POSEIDONSQL_APPFVT_01_SQLFacturasRendidas[[#This Row],[f_facturacion]])</f>
        <v>2018</v>
      </c>
      <c r="H38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383">
        <f>+IF(Tabla__192.168.1.8_POSEIDONSQL_APPFVT_01_SQLFacturasRendidas[[#This Row],[epc_nombre]]="RENDIDA",1,0)</f>
        <v>1</v>
      </c>
      <c r="J383">
        <f>+IF(Tabla__192.168.1.8_POSEIDONSQL_APPFVT_01_SQLFacturasRendidas[[#This Row],[usu_codigo]]="","",1)</f>
        <v>1</v>
      </c>
    </row>
    <row r="384" spans="1:10" x14ac:dyDescent="0.25">
      <c r="A384">
        <v>1</v>
      </c>
      <c r="B384">
        <v>3</v>
      </c>
      <c r="C384" t="s">
        <v>11</v>
      </c>
      <c r="D384" t="s">
        <v>15</v>
      </c>
      <c r="E384" t="s">
        <v>76</v>
      </c>
      <c r="F384">
        <v>3311</v>
      </c>
      <c r="G384">
        <f>+YEAR(Tabla__192.168.1.8_POSEIDONSQL_APPFVT_01_SQLFacturasRendidas[[#This Row],[f_facturacion]])</f>
        <v>2018</v>
      </c>
      <c r="H38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384">
        <f>+IF(Tabla__192.168.1.8_POSEIDONSQL_APPFVT_01_SQLFacturasRendidas[[#This Row],[epc_nombre]]="RENDIDA",1,0)</f>
        <v>1</v>
      </c>
      <c r="J384">
        <f>+IF(Tabla__192.168.1.8_POSEIDONSQL_APPFVT_01_SQLFacturasRendidas[[#This Row],[usu_codigo]]="","",1)</f>
        <v>1</v>
      </c>
    </row>
    <row r="385" spans="1:10" x14ac:dyDescent="0.25">
      <c r="A385">
        <v>1</v>
      </c>
      <c r="B385">
        <v>3</v>
      </c>
      <c r="C385" t="s">
        <v>11</v>
      </c>
      <c r="D385" t="s">
        <v>15</v>
      </c>
      <c r="E385" t="s">
        <v>76</v>
      </c>
      <c r="F385">
        <v>3312</v>
      </c>
      <c r="G385">
        <f>+YEAR(Tabla__192.168.1.8_POSEIDONSQL_APPFVT_01_SQLFacturasRendidas[[#This Row],[f_facturacion]])</f>
        <v>2018</v>
      </c>
      <c r="H38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385">
        <f>+IF(Tabla__192.168.1.8_POSEIDONSQL_APPFVT_01_SQLFacturasRendidas[[#This Row],[epc_nombre]]="RENDIDA",1,0)</f>
        <v>1</v>
      </c>
      <c r="J385">
        <f>+IF(Tabla__192.168.1.8_POSEIDONSQL_APPFVT_01_SQLFacturasRendidas[[#This Row],[usu_codigo]]="","",1)</f>
        <v>1</v>
      </c>
    </row>
    <row r="386" spans="1:10" x14ac:dyDescent="0.25">
      <c r="A386">
        <v>1</v>
      </c>
      <c r="B386">
        <v>3</v>
      </c>
      <c r="C386" t="s">
        <v>11</v>
      </c>
      <c r="D386" t="s">
        <v>15</v>
      </c>
      <c r="E386" t="s">
        <v>76</v>
      </c>
      <c r="F386">
        <v>3313</v>
      </c>
      <c r="G386">
        <f>+YEAR(Tabla__192.168.1.8_POSEIDONSQL_APPFVT_01_SQLFacturasRendidas[[#This Row],[f_facturacion]])</f>
        <v>2018</v>
      </c>
      <c r="H38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386">
        <f>+IF(Tabla__192.168.1.8_POSEIDONSQL_APPFVT_01_SQLFacturasRendidas[[#This Row],[epc_nombre]]="RENDIDA",1,0)</f>
        <v>1</v>
      </c>
      <c r="J386">
        <f>+IF(Tabla__192.168.1.8_POSEIDONSQL_APPFVT_01_SQLFacturasRendidas[[#This Row],[usu_codigo]]="","",1)</f>
        <v>1</v>
      </c>
    </row>
    <row r="387" spans="1:10" x14ac:dyDescent="0.25">
      <c r="A387">
        <v>1</v>
      </c>
      <c r="B387">
        <v>3</v>
      </c>
      <c r="C387" t="s">
        <v>11</v>
      </c>
      <c r="D387" t="s">
        <v>15</v>
      </c>
      <c r="E387" t="s">
        <v>76</v>
      </c>
      <c r="F387">
        <v>3314</v>
      </c>
      <c r="G387">
        <f>+YEAR(Tabla__192.168.1.8_POSEIDONSQL_APPFVT_01_SQLFacturasRendidas[[#This Row],[f_facturacion]])</f>
        <v>2018</v>
      </c>
      <c r="H38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387">
        <f>+IF(Tabla__192.168.1.8_POSEIDONSQL_APPFVT_01_SQLFacturasRendidas[[#This Row],[epc_nombre]]="RENDIDA",1,0)</f>
        <v>1</v>
      </c>
      <c r="J387">
        <f>+IF(Tabla__192.168.1.8_POSEIDONSQL_APPFVT_01_SQLFacturasRendidas[[#This Row],[usu_codigo]]="","",1)</f>
        <v>1</v>
      </c>
    </row>
    <row r="388" spans="1:10" x14ac:dyDescent="0.25">
      <c r="A388">
        <v>1</v>
      </c>
      <c r="B388">
        <v>3</v>
      </c>
      <c r="C388" t="s">
        <v>11</v>
      </c>
      <c r="D388" t="s">
        <v>15</v>
      </c>
      <c r="E388" t="s">
        <v>76</v>
      </c>
      <c r="F388">
        <v>3315</v>
      </c>
      <c r="G388">
        <f>+YEAR(Tabla__192.168.1.8_POSEIDONSQL_APPFVT_01_SQLFacturasRendidas[[#This Row],[f_facturacion]])</f>
        <v>2018</v>
      </c>
      <c r="H38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388">
        <f>+IF(Tabla__192.168.1.8_POSEIDONSQL_APPFVT_01_SQLFacturasRendidas[[#This Row],[epc_nombre]]="RENDIDA",1,0)</f>
        <v>1</v>
      </c>
      <c r="J388">
        <f>+IF(Tabla__192.168.1.8_POSEIDONSQL_APPFVT_01_SQLFacturasRendidas[[#This Row],[usu_codigo]]="","",1)</f>
        <v>1</v>
      </c>
    </row>
    <row r="389" spans="1:10" x14ac:dyDescent="0.25">
      <c r="A389">
        <v>1</v>
      </c>
      <c r="B389">
        <v>3</v>
      </c>
      <c r="C389" t="s">
        <v>11</v>
      </c>
      <c r="D389" t="s">
        <v>15</v>
      </c>
      <c r="E389" t="s">
        <v>37</v>
      </c>
      <c r="F389">
        <v>3316</v>
      </c>
      <c r="G389">
        <f>+YEAR(Tabla__192.168.1.8_POSEIDONSQL_APPFVT_01_SQLFacturasRendidas[[#This Row],[f_facturacion]])</f>
        <v>2018</v>
      </c>
      <c r="H38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389">
        <f>+IF(Tabla__192.168.1.8_POSEIDONSQL_APPFVT_01_SQLFacturasRendidas[[#This Row],[epc_nombre]]="RENDIDA",1,0)</f>
        <v>1</v>
      </c>
      <c r="J389">
        <f>+IF(Tabla__192.168.1.8_POSEIDONSQL_APPFVT_01_SQLFacturasRendidas[[#This Row],[usu_codigo]]="","",1)</f>
        <v>1</v>
      </c>
    </row>
    <row r="390" spans="1:10" x14ac:dyDescent="0.25">
      <c r="A390">
        <v>1</v>
      </c>
      <c r="B390">
        <v>3</v>
      </c>
      <c r="C390" t="s">
        <v>11</v>
      </c>
      <c r="D390" t="s">
        <v>15</v>
      </c>
      <c r="E390" t="s">
        <v>37</v>
      </c>
      <c r="F390">
        <v>3317</v>
      </c>
      <c r="G390">
        <f>+YEAR(Tabla__192.168.1.8_POSEIDONSQL_APPFVT_01_SQLFacturasRendidas[[#This Row],[f_facturacion]])</f>
        <v>2018</v>
      </c>
      <c r="H39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390">
        <f>+IF(Tabla__192.168.1.8_POSEIDONSQL_APPFVT_01_SQLFacturasRendidas[[#This Row],[epc_nombre]]="RENDIDA",1,0)</f>
        <v>1</v>
      </c>
      <c r="J390">
        <f>+IF(Tabla__192.168.1.8_POSEIDONSQL_APPFVT_01_SQLFacturasRendidas[[#This Row],[usu_codigo]]="","",1)</f>
        <v>1</v>
      </c>
    </row>
    <row r="391" spans="1:10" x14ac:dyDescent="0.25">
      <c r="A391">
        <v>1</v>
      </c>
      <c r="B391">
        <v>3</v>
      </c>
      <c r="C391" t="s">
        <v>11</v>
      </c>
      <c r="D391" t="s">
        <v>15</v>
      </c>
      <c r="E391" t="s">
        <v>39</v>
      </c>
      <c r="F391">
        <v>3319</v>
      </c>
      <c r="G391">
        <f>+YEAR(Tabla__192.168.1.8_POSEIDONSQL_APPFVT_01_SQLFacturasRendidas[[#This Row],[f_facturacion]])</f>
        <v>2018</v>
      </c>
      <c r="H39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391">
        <f>+IF(Tabla__192.168.1.8_POSEIDONSQL_APPFVT_01_SQLFacturasRendidas[[#This Row],[epc_nombre]]="RENDIDA",1,0)</f>
        <v>1</v>
      </c>
      <c r="J391">
        <f>+IF(Tabla__192.168.1.8_POSEIDONSQL_APPFVT_01_SQLFacturasRendidas[[#This Row],[usu_codigo]]="","",1)</f>
        <v>1</v>
      </c>
    </row>
    <row r="392" spans="1:10" x14ac:dyDescent="0.25">
      <c r="A392">
        <v>1</v>
      </c>
      <c r="B392">
        <v>3</v>
      </c>
      <c r="C392" t="s">
        <v>11</v>
      </c>
      <c r="D392" t="s">
        <v>15</v>
      </c>
      <c r="E392" t="s">
        <v>39</v>
      </c>
      <c r="F392">
        <v>3320</v>
      </c>
      <c r="G392">
        <f>+YEAR(Tabla__192.168.1.8_POSEIDONSQL_APPFVT_01_SQLFacturasRendidas[[#This Row],[f_facturacion]])</f>
        <v>2018</v>
      </c>
      <c r="H39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392">
        <f>+IF(Tabla__192.168.1.8_POSEIDONSQL_APPFVT_01_SQLFacturasRendidas[[#This Row],[epc_nombre]]="RENDIDA",1,0)</f>
        <v>1</v>
      </c>
      <c r="J392">
        <f>+IF(Tabla__192.168.1.8_POSEIDONSQL_APPFVT_01_SQLFacturasRendidas[[#This Row],[usu_codigo]]="","",1)</f>
        <v>1</v>
      </c>
    </row>
    <row r="393" spans="1:10" x14ac:dyDescent="0.25">
      <c r="A393">
        <v>1</v>
      </c>
      <c r="B393">
        <v>3</v>
      </c>
      <c r="C393" t="s">
        <v>11</v>
      </c>
      <c r="D393" t="s">
        <v>15</v>
      </c>
      <c r="E393" t="s">
        <v>39</v>
      </c>
      <c r="F393">
        <v>3321</v>
      </c>
      <c r="G393">
        <f>+YEAR(Tabla__192.168.1.8_POSEIDONSQL_APPFVT_01_SQLFacturasRendidas[[#This Row],[f_facturacion]])</f>
        <v>2018</v>
      </c>
      <c r="H39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393">
        <f>+IF(Tabla__192.168.1.8_POSEIDONSQL_APPFVT_01_SQLFacturasRendidas[[#This Row],[epc_nombre]]="RENDIDA",1,0)</f>
        <v>1</v>
      </c>
      <c r="J393">
        <f>+IF(Tabla__192.168.1.8_POSEIDONSQL_APPFVT_01_SQLFacturasRendidas[[#This Row],[usu_codigo]]="","",1)</f>
        <v>1</v>
      </c>
    </row>
    <row r="394" spans="1:10" x14ac:dyDescent="0.25">
      <c r="A394">
        <v>1</v>
      </c>
      <c r="B394">
        <v>3</v>
      </c>
      <c r="C394" t="s">
        <v>11</v>
      </c>
      <c r="D394" t="s">
        <v>15</v>
      </c>
      <c r="E394" t="s">
        <v>39</v>
      </c>
      <c r="F394">
        <v>3322</v>
      </c>
      <c r="G394">
        <f>+YEAR(Tabla__192.168.1.8_POSEIDONSQL_APPFVT_01_SQLFacturasRendidas[[#This Row],[f_facturacion]])</f>
        <v>2018</v>
      </c>
      <c r="H39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394">
        <f>+IF(Tabla__192.168.1.8_POSEIDONSQL_APPFVT_01_SQLFacturasRendidas[[#This Row],[epc_nombre]]="RENDIDA",1,0)</f>
        <v>1</v>
      </c>
      <c r="J394">
        <f>+IF(Tabla__192.168.1.8_POSEIDONSQL_APPFVT_01_SQLFacturasRendidas[[#This Row],[usu_codigo]]="","",1)</f>
        <v>1</v>
      </c>
    </row>
    <row r="395" spans="1:10" x14ac:dyDescent="0.25">
      <c r="A395">
        <v>1</v>
      </c>
      <c r="B395">
        <v>3</v>
      </c>
      <c r="C395" t="s">
        <v>11</v>
      </c>
      <c r="D395" t="s">
        <v>15</v>
      </c>
      <c r="E395" t="s">
        <v>39</v>
      </c>
      <c r="F395">
        <v>3323</v>
      </c>
      <c r="G395">
        <f>+YEAR(Tabla__192.168.1.8_POSEIDONSQL_APPFVT_01_SQLFacturasRendidas[[#This Row],[f_facturacion]])</f>
        <v>2018</v>
      </c>
      <c r="H39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395">
        <f>+IF(Tabla__192.168.1.8_POSEIDONSQL_APPFVT_01_SQLFacturasRendidas[[#This Row],[epc_nombre]]="RENDIDA",1,0)</f>
        <v>1</v>
      </c>
      <c r="J395">
        <f>+IF(Tabla__192.168.1.8_POSEIDONSQL_APPFVT_01_SQLFacturasRendidas[[#This Row],[usu_codigo]]="","",1)</f>
        <v>1</v>
      </c>
    </row>
    <row r="396" spans="1:10" x14ac:dyDescent="0.25">
      <c r="A396">
        <v>1</v>
      </c>
      <c r="B396">
        <v>3</v>
      </c>
      <c r="C396" t="s">
        <v>11</v>
      </c>
      <c r="D396" t="s">
        <v>15</v>
      </c>
      <c r="E396" t="s">
        <v>39</v>
      </c>
      <c r="F396">
        <v>3324</v>
      </c>
      <c r="G396">
        <f>+YEAR(Tabla__192.168.1.8_POSEIDONSQL_APPFVT_01_SQLFacturasRendidas[[#This Row],[f_facturacion]])</f>
        <v>2018</v>
      </c>
      <c r="H39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396">
        <f>+IF(Tabla__192.168.1.8_POSEIDONSQL_APPFVT_01_SQLFacturasRendidas[[#This Row],[epc_nombre]]="RENDIDA",1,0)</f>
        <v>1</v>
      </c>
      <c r="J396">
        <f>+IF(Tabla__192.168.1.8_POSEIDONSQL_APPFVT_01_SQLFacturasRendidas[[#This Row],[usu_codigo]]="","",1)</f>
        <v>1</v>
      </c>
    </row>
    <row r="397" spans="1:10" x14ac:dyDescent="0.25">
      <c r="A397">
        <v>1</v>
      </c>
      <c r="B397">
        <v>3</v>
      </c>
      <c r="C397" t="s">
        <v>11</v>
      </c>
      <c r="D397" t="s">
        <v>15</v>
      </c>
      <c r="E397" t="s">
        <v>39</v>
      </c>
      <c r="F397">
        <v>3325</v>
      </c>
      <c r="G397">
        <f>+YEAR(Tabla__192.168.1.8_POSEIDONSQL_APPFVT_01_SQLFacturasRendidas[[#This Row],[f_facturacion]])</f>
        <v>2018</v>
      </c>
      <c r="H39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397">
        <f>+IF(Tabla__192.168.1.8_POSEIDONSQL_APPFVT_01_SQLFacturasRendidas[[#This Row],[epc_nombre]]="RENDIDA",1,0)</f>
        <v>1</v>
      </c>
      <c r="J397">
        <f>+IF(Tabla__192.168.1.8_POSEIDONSQL_APPFVT_01_SQLFacturasRendidas[[#This Row],[usu_codigo]]="","",1)</f>
        <v>1</v>
      </c>
    </row>
    <row r="398" spans="1:10" x14ac:dyDescent="0.25">
      <c r="A398">
        <v>1</v>
      </c>
      <c r="B398">
        <v>3</v>
      </c>
      <c r="C398" t="s">
        <v>11</v>
      </c>
      <c r="D398" t="s">
        <v>15</v>
      </c>
      <c r="E398" t="s">
        <v>39</v>
      </c>
      <c r="F398">
        <v>3326</v>
      </c>
      <c r="G398">
        <f>+YEAR(Tabla__192.168.1.8_POSEIDONSQL_APPFVT_01_SQLFacturasRendidas[[#This Row],[f_facturacion]])</f>
        <v>2018</v>
      </c>
      <c r="H39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398">
        <f>+IF(Tabla__192.168.1.8_POSEIDONSQL_APPFVT_01_SQLFacturasRendidas[[#This Row],[epc_nombre]]="RENDIDA",1,0)</f>
        <v>1</v>
      </c>
      <c r="J398">
        <f>+IF(Tabla__192.168.1.8_POSEIDONSQL_APPFVT_01_SQLFacturasRendidas[[#This Row],[usu_codigo]]="","",1)</f>
        <v>1</v>
      </c>
    </row>
    <row r="399" spans="1:10" x14ac:dyDescent="0.25">
      <c r="A399">
        <v>1</v>
      </c>
      <c r="B399">
        <v>3</v>
      </c>
      <c r="C399" t="s">
        <v>11</v>
      </c>
      <c r="D399" t="s">
        <v>15</v>
      </c>
      <c r="E399" t="s">
        <v>39</v>
      </c>
      <c r="F399">
        <v>3327</v>
      </c>
      <c r="G399">
        <f>+YEAR(Tabla__192.168.1.8_POSEIDONSQL_APPFVT_01_SQLFacturasRendidas[[#This Row],[f_facturacion]])</f>
        <v>2018</v>
      </c>
      <c r="H39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399">
        <f>+IF(Tabla__192.168.1.8_POSEIDONSQL_APPFVT_01_SQLFacturasRendidas[[#This Row],[epc_nombre]]="RENDIDA",1,0)</f>
        <v>1</v>
      </c>
      <c r="J399">
        <f>+IF(Tabla__192.168.1.8_POSEIDONSQL_APPFVT_01_SQLFacturasRendidas[[#This Row],[usu_codigo]]="","",1)</f>
        <v>1</v>
      </c>
    </row>
    <row r="400" spans="1:10" x14ac:dyDescent="0.25">
      <c r="A400">
        <v>1</v>
      </c>
      <c r="B400">
        <v>3</v>
      </c>
      <c r="C400" t="s">
        <v>11</v>
      </c>
      <c r="D400" t="s">
        <v>15</v>
      </c>
      <c r="E400" t="s">
        <v>39</v>
      </c>
      <c r="F400">
        <v>3328</v>
      </c>
      <c r="G400">
        <f>+YEAR(Tabla__192.168.1.8_POSEIDONSQL_APPFVT_01_SQLFacturasRendidas[[#This Row],[f_facturacion]])</f>
        <v>2018</v>
      </c>
      <c r="H40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00">
        <f>+IF(Tabla__192.168.1.8_POSEIDONSQL_APPFVT_01_SQLFacturasRendidas[[#This Row],[epc_nombre]]="RENDIDA",1,0)</f>
        <v>1</v>
      </c>
      <c r="J400">
        <f>+IF(Tabla__192.168.1.8_POSEIDONSQL_APPFVT_01_SQLFacturasRendidas[[#This Row],[usu_codigo]]="","",1)</f>
        <v>1</v>
      </c>
    </row>
    <row r="401" spans="1:10" x14ac:dyDescent="0.25">
      <c r="A401">
        <v>1</v>
      </c>
      <c r="B401">
        <v>3</v>
      </c>
      <c r="C401" t="s">
        <v>11</v>
      </c>
      <c r="D401" t="s">
        <v>15</v>
      </c>
      <c r="E401" t="s">
        <v>39</v>
      </c>
      <c r="F401">
        <v>3329</v>
      </c>
      <c r="G401">
        <f>+YEAR(Tabla__192.168.1.8_POSEIDONSQL_APPFVT_01_SQLFacturasRendidas[[#This Row],[f_facturacion]])</f>
        <v>2018</v>
      </c>
      <c r="H40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01">
        <f>+IF(Tabla__192.168.1.8_POSEIDONSQL_APPFVT_01_SQLFacturasRendidas[[#This Row],[epc_nombre]]="RENDIDA",1,0)</f>
        <v>1</v>
      </c>
      <c r="J401">
        <f>+IF(Tabla__192.168.1.8_POSEIDONSQL_APPFVT_01_SQLFacturasRendidas[[#This Row],[usu_codigo]]="","",1)</f>
        <v>1</v>
      </c>
    </row>
    <row r="402" spans="1:10" x14ac:dyDescent="0.25">
      <c r="A402">
        <v>1</v>
      </c>
      <c r="B402">
        <v>3</v>
      </c>
      <c r="C402" t="s">
        <v>11</v>
      </c>
      <c r="D402" t="s">
        <v>15</v>
      </c>
      <c r="E402" t="s">
        <v>39</v>
      </c>
      <c r="F402">
        <v>3330</v>
      </c>
      <c r="G402">
        <f>+YEAR(Tabla__192.168.1.8_POSEIDONSQL_APPFVT_01_SQLFacturasRendidas[[#This Row],[f_facturacion]])</f>
        <v>2018</v>
      </c>
      <c r="H40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02">
        <f>+IF(Tabla__192.168.1.8_POSEIDONSQL_APPFVT_01_SQLFacturasRendidas[[#This Row],[epc_nombre]]="RENDIDA",1,0)</f>
        <v>1</v>
      </c>
      <c r="J402">
        <f>+IF(Tabla__192.168.1.8_POSEIDONSQL_APPFVT_01_SQLFacturasRendidas[[#This Row],[usu_codigo]]="","",1)</f>
        <v>1</v>
      </c>
    </row>
    <row r="403" spans="1:10" x14ac:dyDescent="0.25">
      <c r="A403">
        <v>1</v>
      </c>
      <c r="B403">
        <v>3</v>
      </c>
      <c r="C403" t="s">
        <v>11</v>
      </c>
      <c r="D403" t="s">
        <v>15</v>
      </c>
      <c r="E403" t="s">
        <v>39</v>
      </c>
      <c r="F403">
        <v>3331</v>
      </c>
      <c r="G403">
        <f>+YEAR(Tabla__192.168.1.8_POSEIDONSQL_APPFVT_01_SQLFacturasRendidas[[#This Row],[f_facturacion]])</f>
        <v>2018</v>
      </c>
      <c r="H40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03">
        <f>+IF(Tabla__192.168.1.8_POSEIDONSQL_APPFVT_01_SQLFacturasRendidas[[#This Row],[epc_nombre]]="RENDIDA",1,0)</f>
        <v>1</v>
      </c>
      <c r="J403">
        <f>+IF(Tabla__192.168.1.8_POSEIDONSQL_APPFVT_01_SQLFacturasRendidas[[#This Row],[usu_codigo]]="","",1)</f>
        <v>1</v>
      </c>
    </row>
    <row r="404" spans="1:10" x14ac:dyDescent="0.25">
      <c r="A404">
        <v>1</v>
      </c>
      <c r="B404">
        <v>3</v>
      </c>
      <c r="C404" t="s">
        <v>11</v>
      </c>
      <c r="D404" t="s">
        <v>15</v>
      </c>
      <c r="E404" t="s">
        <v>40</v>
      </c>
      <c r="F404">
        <v>3379</v>
      </c>
      <c r="G404">
        <f>+YEAR(Tabla__192.168.1.8_POSEIDONSQL_APPFVT_01_SQLFacturasRendidas[[#This Row],[f_facturacion]])</f>
        <v>2018</v>
      </c>
      <c r="H40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04">
        <f>+IF(Tabla__192.168.1.8_POSEIDONSQL_APPFVT_01_SQLFacturasRendidas[[#This Row],[epc_nombre]]="RENDIDA",1,0)</f>
        <v>1</v>
      </c>
      <c r="J404">
        <f>+IF(Tabla__192.168.1.8_POSEIDONSQL_APPFVT_01_SQLFacturasRendidas[[#This Row],[usu_codigo]]="","",1)</f>
        <v>1</v>
      </c>
    </row>
    <row r="405" spans="1:10" x14ac:dyDescent="0.25">
      <c r="A405">
        <v>1</v>
      </c>
      <c r="B405">
        <v>3</v>
      </c>
      <c r="C405" t="s">
        <v>11</v>
      </c>
      <c r="D405" t="s">
        <v>15</v>
      </c>
      <c r="E405" t="s">
        <v>71</v>
      </c>
      <c r="F405">
        <v>3380</v>
      </c>
      <c r="G405">
        <f>+YEAR(Tabla__192.168.1.8_POSEIDONSQL_APPFVT_01_SQLFacturasRendidas[[#This Row],[f_facturacion]])</f>
        <v>2018</v>
      </c>
      <c r="H40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05">
        <f>+IF(Tabla__192.168.1.8_POSEIDONSQL_APPFVT_01_SQLFacturasRendidas[[#This Row],[epc_nombre]]="RENDIDA",1,0)</f>
        <v>1</v>
      </c>
      <c r="J405">
        <f>+IF(Tabla__192.168.1.8_POSEIDONSQL_APPFVT_01_SQLFacturasRendidas[[#This Row],[usu_codigo]]="","",1)</f>
        <v>1</v>
      </c>
    </row>
    <row r="406" spans="1:10" x14ac:dyDescent="0.25">
      <c r="A406">
        <v>1</v>
      </c>
      <c r="B406">
        <v>3</v>
      </c>
      <c r="C406" t="s">
        <v>11</v>
      </c>
      <c r="D406" t="s">
        <v>15</v>
      </c>
      <c r="E406" t="s">
        <v>71</v>
      </c>
      <c r="F406">
        <v>3381</v>
      </c>
      <c r="G406">
        <f>+YEAR(Tabla__192.168.1.8_POSEIDONSQL_APPFVT_01_SQLFacturasRendidas[[#This Row],[f_facturacion]])</f>
        <v>2018</v>
      </c>
      <c r="H40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06">
        <f>+IF(Tabla__192.168.1.8_POSEIDONSQL_APPFVT_01_SQLFacturasRendidas[[#This Row],[epc_nombre]]="RENDIDA",1,0)</f>
        <v>1</v>
      </c>
      <c r="J406">
        <f>+IF(Tabla__192.168.1.8_POSEIDONSQL_APPFVT_01_SQLFacturasRendidas[[#This Row],[usu_codigo]]="","",1)</f>
        <v>1</v>
      </c>
    </row>
    <row r="407" spans="1:10" x14ac:dyDescent="0.25">
      <c r="A407">
        <v>1</v>
      </c>
      <c r="B407">
        <v>3</v>
      </c>
      <c r="C407" t="s">
        <v>11</v>
      </c>
      <c r="D407" t="s">
        <v>15</v>
      </c>
      <c r="E407" t="s">
        <v>71</v>
      </c>
      <c r="F407">
        <v>3382</v>
      </c>
      <c r="G407">
        <f>+YEAR(Tabla__192.168.1.8_POSEIDONSQL_APPFVT_01_SQLFacturasRendidas[[#This Row],[f_facturacion]])</f>
        <v>2018</v>
      </c>
      <c r="H40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07">
        <f>+IF(Tabla__192.168.1.8_POSEIDONSQL_APPFVT_01_SQLFacturasRendidas[[#This Row],[epc_nombre]]="RENDIDA",1,0)</f>
        <v>1</v>
      </c>
      <c r="J407">
        <f>+IF(Tabla__192.168.1.8_POSEIDONSQL_APPFVT_01_SQLFacturasRendidas[[#This Row],[usu_codigo]]="","",1)</f>
        <v>1</v>
      </c>
    </row>
    <row r="408" spans="1:10" x14ac:dyDescent="0.25">
      <c r="A408">
        <v>1</v>
      </c>
      <c r="B408">
        <v>3</v>
      </c>
      <c r="C408" t="s">
        <v>11</v>
      </c>
      <c r="D408" t="s">
        <v>15</v>
      </c>
      <c r="E408" t="s">
        <v>71</v>
      </c>
      <c r="F408">
        <v>3383</v>
      </c>
      <c r="G408">
        <f>+YEAR(Tabla__192.168.1.8_POSEIDONSQL_APPFVT_01_SQLFacturasRendidas[[#This Row],[f_facturacion]])</f>
        <v>2018</v>
      </c>
      <c r="H40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08">
        <f>+IF(Tabla__192.168.1.8_POSEIDONSQL_APPFVT_01_SQLFacturasRendidas[[#This Row],[epc_nombre]]="RENDIDA",1,0)</f>
        <v>1</v>
      </c>
      <c r="J408">
        <f>+IF(Tabla__192.168.1.8_POSEIDONSQL_APPFVT_01_SQLFacturasRendidas[[#This Row],[usu_codigo]]="","",1)</f>
        <v>1</v>
      </c>
    </row>
    <row r="409" spans="1:10" x14ac:dyDescent="0.25">
      <c r="A409">
        <v>1</v>
      </c>
      <c r="B409">
        <v>3</v>
      </c>
      <c r="C409" t="s">
        <v>11</v>
      </c>
      <c r="D409" t="s">
        <v>15</v>
      </c>
      <c r="E409" t="s">
        <v>71</v>
      </c>
      <c r="F409">
        <v>3384</v>
      </c>
      <c r="G409">
        <f>+YEAR(Tabla__192.168.1.8_POSEIDONSQL_APPFVT_01_SQLFacturasRendidas[[#This Row],[f_facturacion]])</f>
        <v>2018</v>
      </c>
      <c r="H40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09">
        <f>+IF(Tabla__192.168.1.8_POSEIDONSQL_APPFVT_01_SQLFacturasRendidas[[#This Row],[epc_nombre]]="RENDIDA",1,0)</f>
        <v>1</v>
      </c>
      <c r="J409">
        <f>+IF(Tabla__192.168.1.8_POSEIDONSQL_APPFVT_01_SQLFacturasRendidas[[#This Row],[usu_codigo]]="","",1)</f>
        <v>1</v>
      </c>
    </row>
    <row r="410" spans="1:10" x14ac:dyDescent="0.25">
      <c r="A410">
        <v>1</v>
      </c>
      <c r="B410">
        <v>3</v>
      </c>
      <c r="C410" t="s">
        <v>11</v>
      </c>
      <c r="D410" t="s">
        <v>15</v>
      </c>
      <c r="E410" t="s">
        <v>71</v>
      </c>
      <c r="F410">
        <v>3385</v>
      </c>
      <c r="G410">
        <f>+YEAR(Tabla__192.168.1.8_POSEIDONSQL_APPFVT_01_SQLFacturasRendidas[[#This Row],[f_facturacion]])</f>
        <v>2018</v>
      </c>
      <c r="H41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10">
        <f>+IF(Tabla__192.168.1.8_POSEIDONSQL_APPFVT_01_SQLFacturasRendidas[[#This Row],[epc_nombre]]="RENDIDA",1,0)</f>
        <v>1</v>
      </c>
      <c r="J410">
        <f>+IF(Tabla__192.168.1.8_POSEIDONSQL_APPFVT_01_SQLFacturasRendidas[[#This Row],[usu_codigo]]="","",1)</f>
        <v>1</v>
      </c>
    </row>
    <row r="411" spans="1:10" x14ac:dyDescent="0.25">
      <c r="A411">
        <v>1</v>
      </c>
      <c r="B411">
        <v>3</v>
      </c>
      <c r="C411" t="s">
        <v>11</v>
      </c>
      <c r="D411" t="s">
        <v>15</v>
      </c>
      <c r="E411" t="s">
        <v>71</v>
      </c>
      <c r="F411">
        <v>3386</v>
      </c>
      <c r="G411">
        <f>+YEAR(Tabla__192.168.1.8_POSEIDONSQL_APPFVT_01_SQLFacturasRendidas[[#This Row],[f_facturacion]])</f>
        <v>2018</v>
      </c>
      <c r="H41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11">
        <f>+IF(Tabla__192.168.1.8_POSEIDONSQL_APPFVT_01_SQLFacturasRendidas[[#This Row],[epc_nombre]]="RENDIDA",1,0)</f>
        <v>1</v>
      </c>
      <c r="J411">
        <f>+IF(Tabla__192.168.1.8_POSEIDONSQL_APPFVT_01_SQLFacturasRendidas[[#This Row],[usu_codigo]]="","",1)</f>
        <v>1</v>
      </c>
    </row>
    <row r="412" spans="1:10" x14ac:dyDescent="0.25">
      <c r="A412">
        <v>1</v>
      </c>
      <c r="B412">
        <v>3</v>
      </c>
      <c r="C412" t="s">
        <v>11</v>
      </c>
      <c r="D412" t="s">
        <v>15</v>
      </c>
      <c r="E412" t="s">
        <v>71</v>
      </c>
      <c r="F412">
        <v>3387</v>
      </c>
      <c r="G412">
        <f>+YEAR(Tabla__192.168.1.8_POSEIDONSQL_APPFVT_01_SQLFacturasRendidas[[#This Row],[f_facturacion]])</f>
        <v>2018</v>
      </c>
      <c r="H41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12">
        <f>+IF(Tabla__192.168.1.8_POSEIDONSQL_APPFVT_01_SQLFacturasRendidas[[#This Row],[epc_nombre]]="RENDIDA",1,0)</f>
        <v>1</v>
      </c>
      <c r="J412">
        <f>+IF(Tabla__192.168.1.8_POSEIDONSQL_APPFVT_01_SQLFacturasRendidas[[#This Row],[usu_codigo]]="","",1)</f>
        <v>1</v>
      </c>
    </row>
    <row r="413" spans="1:10" x14ac:dyDescent="0.25">
      <c r="A413">
        <v>1</v>
      </c>
      <c r="B413">
        <v>3</v>
      </c>
      <c r="C413" t="s">
        <v>11</v>
      </c>
      <c r="D413" t="s">
        <v>15</v>
      </c>
      <c r="E413" t="s">
        <v>71</v>
      </c>
      <c r="F413">
        <v>3388</v>
      </c>
      <c r="G413">
        <f>+YEAR(Tabla__192.168.1.8_POSEIDONSQL_APPFVT_01_SQLFacturasRendidas[[#This Row],[f_facturacion]])</f>
        <v>2018</v>
      </c>
      <c r="H41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13">
        <f>+IF(Tabla__192.168.1.8_POSEIDONSQL_APPFVT_01_SQLFacturasRendidas[[#This Row],[epc_nombre]]="RENDIDA",1,0)</f>
        <v>1</v>
      </c>
      <c r="J413">
        <f>+IF(Tabla__192.168.1.8_POSEIDONSQL_APPFVT_01_SQLFacturasRendidas[[#This Row],[usu_codigo]]="","",1)</f>
        <v>1</v>
      </c>
    </row>
    <row r="414" spans="1:10" x14ac:dyDescent="0.25">
      <c r="A414">
        <v>1</v>
      </c>
      <c r="B414">
        <v>3</v>
      </c>
      <c r="C414" t="s">
        <v>11</v>
      </c>
      <c r="D414" t="s">
        <v>15</v>
      </c>
      <c r="E414" t="s">
        <v>71</v>
      </c>
      <c r="F414">
        <v>3389</v>
      </c>
      <c r="G414">
        <f>+YEAR(Tabla__192.168.1.8_POSEIDONSQL_APPFVT_01_SQLFacturasRendidas[[#This Row],[f_facturacion]])</f>
        <v>2018</v>
      </c>
      <c r="H41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14">
        <f>+IF(Tabla__192.168.1.8_POSEIDONSQL_APPFVT_01_SQLFacturasRendidas[[#This Row],[epc_nombre]]="RENDIDA",1,0)</f>
        <v>1</v>
      </c>
      <c r="J414">
        <f>+IF(Tabla__192.168.1.8_POSEIDONSQL_APPFVT_01_SQLFacturasRendidas[[#This Row],[usu_codigo]]="","",1)</f>
        <v>1</v>
      </c>
    </row>
    <row r="415" spans="1:10" x14ac:dyDescent="0.25">
      <c r="A415">
        <v>1</v>
      </c>
      <c r="B415">
        <v>3</v>
      </c>
      <c r="C415" t="s">
        <v>11</v>
      </c>
      <c r="D415" t="s">
        <v>15</v>
      </c>
      <c r="E415" t="s">
        <v>71</v>
      </c>
      <c r="F415">
        <v>3390</v>
      </c>
      <c r="G415">
        <f>+YEAR(Tabla__192.168.1.8_POSEIDONSQL_APPFVT_01_SQLFacturasRendidas[[#This Row],[f_facturacion]])</f>
        <v>2018</v>
      </c>
      <c r="H41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15">
        <f>+IF(Tabla__192.168.1.8_POSEIDONSQL_APPFVT_01_SQLFacturasRendidas[[#This Row],[epc_nombre]]="RENDIDA",1,0)</f>
        <v>1</v>
      </c>
      <c r="J415">
        <f>+IF(Tabla__192.168.1.8_POSEIDONSQL_APPFVT_01_SQLFacturasRendidas[[#This Row],[usu_codigo]]="","",1)</f>
        <v>1</v>
      </c>
    </row>
    <row r="416" spans="1:10" x14ac:dyDescent="0.25">
      <c r="A416">
        <v>1</v>
      </c>
      <c r="B416">
        <v>3</v>
      </c>
      <c r="C416" t="s">
        <v>11</v>
      </c>
      <c r="D416" t="s">
        <v>15</v>
      </c>
      <c r="E416" t="s">
        <v>71</v>
      </c>
      <c r="F416">
        <v>3391</v>
      </c>
      <c r="G416">
        <f>+YEAR(Tabla__192.168.1.8_POSEIDONSQL_APPFVT_01_SQLFacturasRendidas[[#This Row],[f_facturacion]])</f>
        <v>2018</v>
      </c>
      <c r="H41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16">
        <f>+IF(Tabla__192.168.1.8_POSEIDONSQL_APPFVT_01_SQLFacturasRendidas[[#This Row],[epc_nombre]]="RENDIDA",1,0)</f>
        <v>1</v>
      </c>
      <c r="J416">
        <f>+IF(Tabla__192.168.1.8_POSEIDONSQL_APPFVT_01_SQLFacturasRendidas[[#This Row],[usu_codigo]]="","",1)</f>
        <v>1</v>
      </c>
    </row>
    <row r="417" spans="1:10" x14ac:dyDescent="0.25">
      <c r="A417">
        <v>1</v>
      </c>
      <c r="B417">
        <v>3</v>
      </c>
      <c r="C417" t="s">
        <v>11</v>
      </c>
      <c r="D417" t="s">
        <v>15</v>
      </c>
      <c r="E417" t="s">
        <v>71</v>
      </c>
      <c r="F417">
        <v>3392</v>
      </c>
      <c r="G417">
        <f>+YEAR(Tabla__192.168.1.8_POSEIDONSQL_APPFVT_01_SQLFacturasRendidas[[#This Row],[f_facturacion]])</f>
        <v>2018</v>
      </c>
      <c r="H41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17">
        <f>+IF(Tabla__192.168.1.8_POSEIDONSQL_APPFVT_01_SQLFacturasRendidas[[#This Row],[epc_nombre]]="RENDIDA",1,0)</f>
        <v>1</v>
      </c>
      <c r="J417">
        <f>+IF(Tabla__192.168.1.8_POSEIDONSQL_APPFVT_01_SQLFacturasRendidas[[#This Row],[usu_codigo]]="","",1)</f>
        <v>1</v>
      </c>
    </row>
    <row r="418" spans="1:10" x14ac:dyDescent="0.25">
      <c r="A418">
        <v>1</v>
      </c>
      <c r="B418">
        <v>3</v>
      </c>
      <c r="C418" t="s">
        <v>11</v>
      </c>
      <c r="D418" t="s">
        <v>15</v>
      </c>
      <c r="E418" t="s">
        <v>71</v>
      </c>
      <c r="F418">
        <v>3393</v>
      </c>
      <c r="G418">
        <f>+YEAR(Tabla__192.168.1.8_POSEIDONSQL_APPFVT_01_SQLFacturasRendidas[[#This Row],[f_facturacion]])</f>
        <v>2018</v>
      </c>
      <c r="H41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18">
        <f>+IF(Tabla__192.168.1.8_POSEIDONSQL_APPFVT_01_SQLFacturasRendidas[[#This Row],[epc_nombre]]="RENDIDA",1,0)</f>
        <v>1</v>
      </c>
      <c r="J418">
        <f>+IF(Tabla__192.168.1.8_POSEIDONSQL_APPFVT_01_SQLFacturasRendidas[[#This Row],[usu_codigo]]="","",1)</f>
        <v>1</v>
      </c>
    </row>
    <row r="419" spans="1:10" x14ac:dyDescent="0.25">
      <c r="A419">
        <v>1</v>
      </c>
      <c r="B419">
        <v>3</v>
      </c>
      <c r="C419" t="s">
        <v>11</v>
      </c>
      <c r="D419" t="s">
        <v>15</v>
      </c>
      <c r="E419" t="s">
        <v>71</v>
      </c>
      <c r="F419">
        <v>3394</v>
      </c>
      <c r="G419">
        <f>+YEAR(Tabla__192.168.1.8_POSEIDONSQL_APPFVT_01_SQLFacturasRendidas[[#This Row],[f_facturacion]])</f>
        <v>2018</v>
      </c>
      <c r="H41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19">
        <f>+IF(Tabla__192.168.1.8_POSEIDONSQL_APPFVT_01_SQLFacturasRendidas[[#This Row],[epc_nombre]]="RENDIDA",1,0)</f>
        <v>1</v>
      </c>
      <c r="J419">
        <f>+IF(Tabla__192.168.1.8_POSEIDONSQL_APPFVT_01_SQLFacturasRendidas[[#This Row],[usu_codigo]]="","",1)</f>
        <v>1</v>
      </c>
    </row>
    <row r="420" spans="1:10" x14ac:dyDescent="0.25">
      <c r="A420">
        <v>1</v>
      </c>
      <c r="B420">
        <v>3</v>
      </c>
      <c r="C420" t="s">
        <v>11</v>
      </c>
      <c r="D420" t="s">
        <v>15</v>
      </c>
      <c r="E420" t="s">
        <v>71</v>
      </c>
      <c r="F420">
        <v>3395</v>
      </c>
      <c r="G420">
        <f>+YEAR(Tabla__192.168.1.8_POSEIDONSQL_APPFVT_01_SQLFacturasRendidas[[#This Row],[f_facturacion]])</f>
        <v>2018</v>
      </c>
      <c r="H42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20">
        <f>+IF(Tabla__192.168.1.8_POSEIDONSQL_APPFVT_01_SQLFacturasRendidas[[#This Row],[epc_nombre]]="RENDIDA",1,0)</f>
        <v>1</v>
      </c>
      <c r="J420">
        <f>+IF(Tabla__192.168.1.8_POSEIDONSQL_APPFVT_01_SQLFacturasRendidas[[#This Row],[usu_codigo]]="","",1)</f>
        <v>1</v>
      </c>
    </row>
    <row r="421" spans="1:10" x14ac:dyDescent="0.25">
      <c r="A421">
        <v>1</v>
      </c>
      <c r="B421">
        <v>3</v>
      </c>
      <c r="C421" t="s">
        <v>11</v>
      </c>
      <c r="D421" t="s">
        <v>15</v>
      </c>
      <c r="E421" t="s">
        <v>71</v>
      </c>
      <c r="F421">
        <v>3396</v>
      </c>
      <c r="G421">
        <f>+YEAR(Tabla__192.168.1.8_POSEIDONSQL_APPFVT_01_SQLFacturasRendidas[[#This Row],[f_facturacion]])</f>
        <v>2018</v>
      </c>
      <c r="H42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21">
        <f>+IF(Tabla__192.168.1.8_POSEIDONSQL_APPFVT_01_SQLFacturasRendidas[[#This Row],[epc_nombre]]="RENDIDA",1,0)</f>
        <v>1</v>
      </c>
      <c r="J421">
        <f>+IF(Tabla__192.168.1.8_POSEIDONSQL_APPFVT_01_SQLFacturasRendidas[[#This Row],[usu_codigo]]="","",1)</f>
        <v>1</v>
      </c>
    </row>
    <row r="422" spans="1:10" x14ac:dyDescent="0.25">
      <c r="A422">
        <v>1</v>
      </c>
      <c r="B422">
        <v>3</v>
      </c>
      <c r="C422" t="s">
        <v>11</v>
      </c>
      <c r="D422" t="s">
        <v>15</v>
      </c>
      <c r="E422" t="s">
        <v>71</v>
      </c>
      <c r="F422">
        <v>3397</v>
      </c>
      <c r="G422">
        <f>+YEAR(Tabla__192.168.1.8_POSEIDONSQL_APPFVT_01_SQLFacturasRendidas[[#This Row],[f_facturacion]])</f>
        <v>2018</v>
      </c>
      <c r="H42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22">
        <f>+IF(Tabla__192.168.1.8_POSEIDONSQL_APPFVT_01_SQLFacturasRendidas[[#This Row],[epc_nombre]]="RENDIDA",1,0)</f>
        <v>1</v>
      </c>
      <c r="J422">
        <f>+IF(Tabla__192.168.1.8_POSEIDONSQL_APPFVT_01_SQLFacturasRendidas[[#This Row],[usu_codigo]]="","",1)</f>
        <v>1</v>
      </c>
    </row>
    <row r="423" spans="1:10" x14ac:dyDescent="0.25">
      <c r="A423">
        <v>1</v>
      </c>
      <c r="B423">
        <v>3</v>
      </c>
      <c r="C423" t="s">
        <v>11</v>
      </c>
      <c r="D423" t="s">
        <v>15</v>
      </c>
      <c r="E423" t="s">
        <v>71</v>
      </c>
      <c r="F423">
        <v>3398</v>
      </c>
      <c r="G423">
        <f>+YEAR(Tabla__192.168.1.8_POSEIDONSQL_APPFVT_01_SQLFacturasRendidas[[#This Row],[f_facturacion]])</f>
        <v>2018</v>
      </c>
      <c r="H42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23">
        <f>+IF(Tabla__192.168.1.8_POSEIDONSQL_APPFVT_01_SQLFacturasRendidas[[#This Row],[epc_nombre]]="RENDIDA",1,0)</f>
        <v>1</v>
      </c>
      <c r="J423">
        <f>+IF(Tabla__192.168.1.8_POSEIDONSQL_APPFVT_01_SQLFacturasRendidas[[#This Row],[usu_codigo]]="","",1)</f>
        <v>1</v>
      </c>
    </row>
    <row r="424" spans="1:10" x14ac:dyDescent="0.25">
      <c r="A424">
        <v>1</v>
      </c>
      <c r="B424">
        <v>3</v>
      </c>
      <c r="C424" t="s">
        <v>11</v>
      </c>
      <c r="D424" t="s">
        <v>15</v>
      </c>
      <c r="E424" t="s">
        <v>71</v>
      </c>
      <c r="F424">
        <v>3399</v>
      </c>
      <c r="G424">
        <f>+YEAR(Tabla__192.168.1.8_POSEIDONSQL_APPFVT_01_SQLFacturasRendidas[[#This Row],[f_facturacion]])</f>
        <v>2018</v>
      </c>
      <c r="H42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24">
        <f>+IF(Tabla__192.168.1.8_POSEIDONSQL_APPFVT_01_SQLFacturasRendidas[[#This Row],[epc_nombre]]="RENDIDA",1,0)</f>
        <v>1</v>
      </c>
      <c r="J424">
        <f>+IF(Tabla__192.168.1.8_POSEIDONSQL_APPFVT_01_SQLFacturasRendidas[[#This Row],[usu_codigo]]="","",1)</f>
        <v>1</v>
      </c>
    </row>
    <row r="425" spans="1:10" x14ac:dyDescent="0.25">
      <c r="A425">
        <v>1</v>
      </c>
      <c r="B425">
        <v>3</v>
      </c>
      <c r="C425" t="s">
        <v>11</v>
      </c>
      <c r="D425" t="s">
        <v>15</v>
      </c>
      <c r="E425" t="s">
        <v>71</v>
      </c>
      <c r="F425">
        <v>3400</v>
      </c>
      <c r="G425">
        <f>+YEAR(Tabla__192.168.1.8_POSEIDONSQL_APPFVT_01_SQLFacturasRendidas[[#This Row],[f_facturacion]])</f>
        <v>2018</v>
      </c>
      <c r="H42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25">
        <f>+IF(Tabla__192.168.1.8_POSEIDONSQL_APPFVT_01_SQLFacturasRendidas[[#This Row],[epc_nombre]]="RENDIDA",1,0)</f>
        <v>1</v>
      </c>
      <c r="J425">
        <f>+IF(Tabla__192.168.1.8_POSEIDONSQL_APPFVT_01_SQLFacturasRendidas[[#This Row],[usu_codigo]]="","",1)</f>
        <v>1</v>
      </c>
    </row>
    <row r="426" spans="1:10" x14ac:dyDescent="0.25">
      <c r="A426">
        <v>1</v>
      </c>
      <c r="B426">
        <v>3</v>
      </c>
      <c r="C426" t="s">
        <v>11</v>
      </c>
      <c r="D426" t="s">
        <v>15</v>
      </c>
      <c r="E426" t="s">
        <v>71</v>
      </c>
      <c r="F426">
        <v>3401</v>
      </c>
      <c r="G426">
        <f>+YEAR(Tabla__192.168.1.8_POSEIDONSQL_APPFVT_01_SQLFacturasRendidas[[#This Row],[f_facturacion]])</f>
        <v>2018</v>
      </c>
      <c r="H42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26">
        <f>+IF(Tabla__192.168.1.8_POSEIDONSQL_APPFVT_01_SQLFacturasRendidas[[#This Row],[epc_nombre]]="RENDIDA",1,0)</f>
        <v>1</v>
      </c>
      <c r="J426">
        <f>+IF(Tabla__192.168.1.8_POSEIDONSQL_APPFVT_01_SQLFacturasRendidas[[#This Row],[usu_codigo]]="","",1)</f>
        <v>1</v>
      </c>
    </row>
    <row r="427" spans="1:10" x14ac:dyDescent="0.25">
      <c r="A427">
        <v>1</v>
      </c>
      <c r="B427">
        <v>3</v>
      </c>
      <c r="C427" t="s">
        <v>11</v>
      </c>
      <c r="D427" t="s">
        <v>15</v>
      </c>
      <c r="E427" t="s">
        <v>71</v>
      </c>
      <c r="F427">
        <v>3402</v>
      </c>
      <c r="G427">
        <f>+YEAR(Tabla__192.168.1.8_POSEIDONSQL_APPFVT_01_SQLFacturasRendidas[[#This Row],[f_facturacion]])</f>
        <v>2018</v>
      </c>
      <c r="H42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27">
        <f>+IF(Tabla__192.168.1.8_POSEIDONSQL_APPFVT_01_SQLFacturasRendidas[[#This Row],[epc_nombre]]="RENDIDA",1,0)</f>
        <v>1</v>
      </c>
      <c r="J427">
        <f>+IF(Tabla__192.168.1.8_POSEIDONSQL_APPFVT_01_SQLFacturasRendidas[[#This Row],[usu_codigo]]="","",1)</f>
        <v>1</v>
      </c>
    </row>
    <row r="428" spans="1:10" x14ac:dyDescent="0.25">
      <c r="A428">
        <v>1</v>
      </c>
      <c r="B428">
        <v>3</v>
      </c>
      <c r="C428" t="s">
        <v>11</v>
      </c>
      <c r="D428" t="s">
        <v>15</v>
      </c>
      <c r="E428" t="s">
        <v>71</v>
      </c>
      <c r="F428">
        <v>3403</v>
      </c>
      <c r="G428">
        <f>+YEAR(Tabla__192.168.1.8_POSEIDONSQL_APPFVT_01_SQLFacturasRendidas[[#This Row],[f_facturacion]])</f>
        <v>2018</v>
      </c>
      <c r="H42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28">
        <f>+IF(Tabla__192.168.1.8_POSEIDONSQL_APPFVT_01_SQLFacturasRendidas[[#This Row],[epc_nombre]]="RENDIDA",1,0)</f>
        <v>1</v>
      </c>
      <c r="J428">
        <f>+IF(Tabla__192.168.1.8_POSEIDONSQL_APPFVT_01_SQLFacturasRendidas[[#This Row],[usu_codigo]]="","",1)</f>
        <v>1</v>
      </c>
    </row>
    <row r="429" spans="1:10" x14ac:dyDescent="0.25">
      <c r="A429">
        <v>1</v>
      </c>
      <c r="B429">
        <v>3</v>
      </c>
      <c r="C429" t="s">
        <v>11</v>
      </c>
      <c r="D429" t="s">
        <v>15</v>
      </c>
      <c r="E429" t="s">
        <v>71</v>
      </c>
      <c r="F429">
        <v>3404</v>
      </c>
      <c r="G429">
        <f>+YEAR(Tabla__192.168.1.8_POSEIDONSQL_APPFVT_01_SQLFacturasRendidas[[#This Row],[f_facturacion]])</f>
        <v>2018</v>
      </c>
      <c r="H42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29">
        <f>+IF(Tabla__192.168.1.8_POSEIDONSQL_APPFVT_01_SQLFacturasRendidas[[#This Row],[epc_nombre]]="RENDIDA",1,0)</f>
        <v>1</v>
      </c>
      <c r="J429">
        <f>+IF(Tabla__192.168.1.8_POSEIDONSQL_APPFVT_01_SQLFacturasRendidas[[#This Row],[usu_codigo]]="","",1)</f>
        <v>1</v>
      </c>
    </row>
    <row r="430" spans="1:10" x14ac:dyDescent="0.25">
      <c r="A430">
        <v>1</v>
      </c>
      <c r="B430">
        <v>3</v>
      </c>
      <c r="C430" t="s">
        <v>11</v>
      </c>
      <c r="D430" t="s">
        <v>15</v>
      </c>
      <c r="E430" t="s">
        <v>71</v>
      </c>
      <c r="F430">
        <v>3405</v>
      </c>
      <c r="G430">
        <f>+YEAR(Tabla__192.168.1.8_POSEIDONSQL_APPFVT_01_SQLFacturasRendidas[[#This Row],[f_facturacion]])</f>
        <v>2018</v>
      </c>
      <c r="H43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30">
        <f>+IF(Tabla__192.168.1.8_POSEIDONSQL_APPFVT_01_SQLFacturasRendidas[[#This Row],[epc_nombre]]="RENDIDA",1,0)</f>
        <v>1</v>
      </c>
      <c r="J430">
        <f>+IF(Tabla__192.168.1.8_POSEIDONSQL_APPFVT_01_SQLFacturasRendidas[[#This Row],[usu_codigo]]="","",1)</f>
        <v>1</v>
      </c>
    </row>
    <row r="431" spans="1:10" x14ac:dyDescent="0.25">
      <c r="A431">
        <v>1</v>
      </c>
      <c r="B431">
        <v>3</v>
      </c>
      <c r="C431" t="s">
        <v>11</v>
      </c>
      <c r="D431" t="s">
        <v>15</v>
      </c>
      <c r="E431" t="s">
        <v>71</v>
      </c>
      <c r="F431">
        <v>3406</v>
      </c>
      <c r="G431">
        <f>+YEAR(Tabla__192.168.1.8_POSEIDONSQL_APPFVT_01_SQLFacturasRendidas[[#This Row],[f_facturacion]])</f>
        <v>2018</v>
      </c>
      <c r="H43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31">
        <f>+IF(Tabla__192.168.1.8_POSEIDONSQL_APPFVT_01_SQLFacturasRendidas[[#This Row],[epc_nombre]]="RENDIDA",1,0)</f>
        <v>1</v>
      </c>
      <c r="J431">
        <f>+IF(Tabla__192.168.1.8_POSEIDONSQL_APPFVT_01_SQLFacturasRendidas[[#This Row],[usu_codigo]]="","",1)</f>
        <v>1</v>
      </c>
    </row>
    <row r="432" spans="1:10" x14ac:dyDescent="0.25">
      <c r="A432">
        <v>1</v>
      </c>
      <c r="B432">
        <v>3</v>
      </c>
      <c r="C432" t="s">
        <v>11</v>
      </c>
      <c r="D432" t="s">
        <v>15</v>
      </c>
      <c r="E432" t="s">
        <v>71</v>
      </c>
      <c r="F432">
        <v>3407</v>
      </c>
      <c r="G432">
        <f>+YEAR(Tabla__192.168.1.8_POSEIDONSQL_APPFVT_01_SQLFacturasRendidas[[#This Row],[f_facturacion]])</f>
        <v>2018</v>
      </c>
      <c r="H43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32">
        <f>+IF(Tabla__192.168.1.8_POSEIDONSQL_APPFVT_01_SQLFacturasRendidas[[#This Row],[epc_nombre]]="RENDIDA",1,0)</f>
        <v>1</v>
      </c>
      <c r="J432">
        <f>+IF(Tabla__192.168.1.8_POSEIDONSQL_APPFVT_01_SQLFacturasRendidas[[#This Row],[usu_codigo]]="","",1)</f>
        <v>1</v>
      </c>
    </row>
    <row r="433" spans="1:10" x14ac:dyDescent="0.25">
      <c r="A433">
        <v>1</v>
      </c>
      <c r="B433">
        <v>3</v>
      </c>
      <c r="C433" t="s">
        <v>11</v>
      </c>
      <c r="D433" t="s">
        <v>15</v>
      </c>
      <c r="E433" t="s">
        <v>41</v>
      </c>
      <c r="F433">
        <v>3408</v>
      </c>
      <c r="G433">
        <f>+YEAR(Tabla__192.168.1.8_POSEIDONSQL_APPFVT_01_SQLFacturasRendidas[[#This Row],[f_facturacion]])</f>
        <v>2018</v>
      </c>
      <c r="H43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33">
        <f>+IF(Tabla__192.168.1.8_POSEIDONSQL_APPFVT_01_SQLFacturasRendidas[[#This Row],[epc_nombre]]="RENDIDA",1,0)</f>
        <v>1</v>
      </c>
      <c r="J433">
        <f>+IF(Tabla__192.168.1.8_POSEIDONSQL_APPFVT_01_SQLFacturasRendidas[[#This Row],[usu_codigo]]="","",1)</f>
        <v>1</v>
      </c>
    </row>
    <row r="434" spans="1:10" x14ac:dyDescent="0.25">
      <c r="A434">
        <v>1</v>
      </c>
      <c r="B434">
        <v>3</v>
      </c>
      <c r="C434" t="s">
        <v>11</v>
      </c>
      <c r="D434" t="s">
        <v>15</v>
      </c>
      <c r="E434" t="s">
        <v>41</v>
      </c>
      <c r="F434">
        <v>3409</v>
      </c>
      <c r="G434">
        <f>+YEAR(Tabla__192.168.1.8_POSEIDONSQL_APPFVT_01_SQLFacturasRendidas[[#This Row],[f_facturacion]])</f>
        <v>2018</v>
      </c>
      <c r="H43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34">
        <f>+IF(Tabla__192.168.1.8_POSEIDONSQL_APPFVT_01_SQLFacturasRendidas[[#This Row],[epc_nombre]]="RENDIDA",1,0)</f>
        <v>1</v>
      </c>
      <c r="J434">
        <f>+IF(Tabla__192.168.1.8_POSEIDONSQL_APPFVT_01_SQLFacturasRendidas[[#This Row],[usu_codigo]]="","",1)</f>
        <v>1</v>
      </c>
    </row>
    <row r="435" spans="1:10" x14ac:dyDescent="0.25">
      <c r="A435">
        <v>1</v>
      </c>
      <c r="B435">
        <v>3</v>
      </c>
      <c r="C435" t="s">
        <v>11</v>
      </c>
      <c r="D435" t="s">
        <v>15</v>
      </c>
      <c r="E435" t="s">
        <v>41</v>
      </c>
      <c r="F435">
        <v>3410</v>
      </c>
      <c r="G435">
        <f>+YEAR(Tabla__192.168.1.8_POSEIDONSQL_APPFVT_01_SQLFacturasRendidas[[#This Row],[f_facturacion]])</f>
        <v>2018</v>
      </c>
      <c r="H43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35">
        <f>+IF(Tabla__192.168.1.8_POSEIDONSQL_APPFVT_01_SQLFacturasRendidas[[#This Row],[epc_nombre]]="RENDIDA",1,0)</f>
        <v>1</v>
      </c>
      <c r="J435">
        <f>+IF(Tabla__192.168.1.8_POSEIDONSQL_APPFVT_01_SQLFacturasRendidas[[#This Row],[usu_codigo]]="","",1)</f>
        <v>1</v>
      </c>
    </row>
    <row r="436" spans="1:10" x14ac:dyDescent="0.25">
      <c r="A436">
        <v>1</v>
      </c>
      <c r="B436">
        <v>3</v>
      </c>
      <c r="C436" t="s">
        <v>11</v>
      </c>
      <c r="D436" t="s">
        <v>15</v>
      </c>
      <c r="E436" t="s">
        <v>41</v>
      </c>
      <c r="F436">
        <v>3411</v>
      </c>
      <c r="G436">
        <f>+YEAR(Tabla__192.168.1.8_POSEIDONSQL_APPFVT_01_SQLFacturasRendidas[[#This Row],[f_facturacion]])</f>
        <v>2018</v>
      </c>
      <c r="H43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36">
        <f>+IF(Tabla__192.168.1.8_POSEIDONSQL_APPFVT_01_SQLFacturasRendidas[[#This Row],[epc_nombre]]="RENDIDA",1,0)</f>
        <v>1</v>
      </c>
      <c r="J436">
        <f>+IF(Tabla__192.168.1.8_POSEIDONSQL_APPFVT_01_SQLFacturasRendidas[[#This Row],[usu_codigo]]="","",1)</f>
        <v>1</v>
      </c>
    </row>
    <row r="437" spans="1:10" x14ac:dyDescent="0.25">
      <c r="A437">
        <v>1</v>
      </c>
      <c r="B437">
        <v>3</v>
      </c>
      <c r="C437" t="s">
        <v>11</v>
      </c>
      <c r="D437" t="s">
        <v>15</v>
      </c>
      <c r="E437" t="s">
        <v>41</v>
      </c>
      <c r="F437">
        <v>3412</v>
      </c>
      <c r="G437">
        <f>+YEAR(Tabla__192.168.1.8_POSEIDONSQL_APPFVT_01_SQLFacturasRendidas[[#This Row],[f_facturacion]])</f>
        <v>2018</v>
      </c>
      <c r="H43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37">
        <f>+IF(Tabla__192.168.1.8_POSEIDONSQL_APPFVT_01_SQLFacturasRendidas[[#This Row],[epc_nombre]]="RENDIDA",1,0)</f>
        <v>1</v>
      </c>
      <c r="J437">
        <f>+IF(Tabla__192.168.1.8_POSEIDONSQL_APPFVT_01_SQLFacturasRendidas[[#This Row],[usu_codigo]]="","",1)</f>
        <v>1</v>
      </c>
    </row>
    <row r="438" spans="1:10" x14ac:dyDescent="0.25">
      <c r="A438">
        <v>1</v>
      </c>
      <c r="B438">
        <v>3</v>
      </c>
      <c r="C438" t="s">
        <v>11</v>
      </c>
      <c r="D438" t="s">
        <v>15</v>
      </c>
      <c r="E438" t="s">
        <v>41</v>
      </c>
      <c r="F438">
        <v>3413</v>
      </c>
      <c r="G438">
        <f>+YEAR(Tabla__192.168.1.8_POSEIDONSQL_APPFVT_01_SQLFacturasRendidas[[#This Row],[f_facturacion]])</f>
        <v>2018</v>
      </c>
      <c r="H43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38">
        <f>+IF(Tabla__192.168.1.8_POSEIDONSQL_APPFVT_01_SQLFacturasRendidas[[#This Row],[epc_nombre]]="RENDIDA",1,0)</f>
        <v>1</v>
      </c>
      <c r="J438">
        <f>+IF(Tabla__192.168.1.8_POSEIDONSQL_APPFVT_01_SQLFacturasRendidas[[#This Row],[usu_codigo]]="","",1)</f>
        <v>1</v>
      </c>
    </row>
    <row r="439" spans="1:10" x14ac:dyDescent="0.25">
      <c r="A439">
        <v>1</v>
      </c>
      <c r="B439">
        <v>3</v>
      </c>
      <c r="C439" t="s">
        <v>11</v>
      </c>
      <c r="D439" t="s">
        <v>15</v>
      </c>
      <c r="E439" t="s">
        <v>41</v>
      </c>
      <c r="F439">
        <v>3414</v>
      </c>
      <c r="G439">
        <f>+YEAR(Tabla__192.168.1.8_POSEIDONSQL_APPFVT_01_SQLFacturasRendidas[[#This Row],[f_facturacion]])</f>
        <v>2018</v>
      </c>
      <c r="H43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39">
        <f>+IF(Tabla__192.168.1.8_POSEIDONSQL_APPFVT_01_SQLFacturasRendidas[[#This Row],[epc_nombre]]="RENDIDA",1,0)</f>
        <v>1</v>
      </c>
      <c r="J439">
        <f>+IF(Tabla__192.168.1.8_POSEIDONSQL_APPFVT_01_SQLFacturasRendidas[[#This Row],[usu_codigo]]="","",1)</f>
        <v>1</v>
      </c>
    </row>
    <row r="440" spans="1:10" x14ac:dyDescent="0.25">
      <c r="A440">
        <v>1</v>
      </c>
      <c r="B440">
        <v>3</v>
      </c>
      <c r="C440" t="s">
        <v>11</v>
      </c>
      <c r="D440" t="s">
        <v>15</v>
      </c>
      <c r="E440" t="s">
        <v>41</v>
      </c>
      <c r="F440">
        <v>3415</v>
      </c>
      <c r="G440">
        <f>+YEAR(Tabla__192.168.1.8_POSEIDONSQL_APPFVT_01_SQLFacturasRendidas[[#This Row],[f_facturacion]])</f>
        <v>2018</v>
      </c>
      <c r="H44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40">
        <f>+IF(Tabla__192.168.1.8_POSEIDONSQL_APPFVT_01_SQLFacturasRendidas[[#This Row],[epc_nombre]]="RENDIDA",1,0)</f>
        <v>1</v>
      </c>
      <c r="J440">
        <f>+IF(Tabla__192.168.1.8_POSEIDONSQL_APPFVT_01_SQLFacturasRendidas[[#This Row],[usu_codigo]]="","",1)</f>
        <v>1</v>
      </c>
    </row>
    <row r="441" spans="1:10" x14ac:dyDescent="0.25">
      <c r="A441">
        <v>1</v>
      </c>
      <c r="B441">
        <v>3</v>
      </c>
      <c r="C441" t="s">
        <v>11</v>
      </c>
      <c r="D441" t="s">
        <v>15</v>
      </c>
      <c r="E441" t="s">
        <v>41</v>
      </c>
      <c r="F441">
        <v>3416</v>
      </c>
      <c r="G441">
        <f>+YEAR(Tabla__192.168.1.8_POSEIDONSQL_APPFVT_01_SQLFacturasRendidas[[#This Row],[f_facturacion]])</f>
        <v>2018</v>
      </c>
      <c r="H44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41">
        <f>+IF(Tabla__192.168.1.8_POSEIDONSQL_APPFVT_01_SQLFacturasRendidas[[#This Row],[epc_nombre]]="RENDIDA",1,0)</f>
        <v>1</v>
      </c>
      <c r="J441">
        <f>+IF(Tabla__192.168.1.8_POSEIDONSQL_APPFVT_01_SQLFacturasRendidas[[#This Row],[usu_codigo]]="","",1)</f>
        <v>1</v>
      </c>
    </row>
    <row r="442" spans="1:10" x14ac:dyDescent="0.25">
      <c r="A442">
        <v>1</v>
      </c>
      <c r="B442">
        <v>3</v>
      </c>
      <c r="C442" t="s">
        <v>11</v>
      </c>
      <c r="D442" t="s">
        <v>15</v>
      </c>
      <c r="E442" t="s">
        <v>41</v>
      </c>
      <c r="F442">
        <v>3417</v>
      </c>
      <c r="G442">
        <f>+YEAR(Tabla__192.168.1.8_POSEIDONSQL_APPFVT_01_SQLFacturasRendidas[[#This Row],[f_facturacion]])</f>
        <v>2018</v>
      </c>
      <c r="H44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42">
        <f>+IF(Tabla__192.168.1.8_POSEIDONSQL_APPFVT_01_SQLFacturasRendidas[[#This Row],[epc_nombre]]="RENDIDA",1,0)</f>
        <v>1</v>
      </c>
      <c r="J442">
        <f>+IF(Tabla__192.168.1.8_POSEIDONSQL_APPFVT_01_SQLFacturasRendidas[[#This Row],[usu_codigo]]="","",1)</f>
        <v>1</v>
      </c>
    </row>
    <row r="443" spans="1:10" x14ac:dyDescent="0.25">
      <c r="A443">
        <v>1</v>
      </c>
      <c r="B443">
        <v>3</v>
      </c>
      <c r="C443" t="s">
        <v>11</v>
      </c>
      <c r="D443" t="s">
        <v>15</v>
      </c>
      <c r="E443" t="s">
        <v>41</v>
      </c>
      <c r="F443">
        <v>3418</v>
      </c>
      <c r="G443">
        <f>+YEAR(Tabla__192.168.1.8_POSEIDONSQL_APPFVT_01_SQLFacturasRendidas[[#This Row],[f_facturacion]])</f>
        <v>2018</v>
      </c>
      <c r="H44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43">
        <f>+IF(Tabla__192.168.1.8_POSEIDONSQL_APPFVT_01_SQLFacturasRendidas[[#This Row],[epc_nombre]]="RENDIDA",1,0)</f>
        <v>1</v>
      </c>
      <c r="J443">
        <f>+IF(Tabla__192.168.1.8_POSEIDONSQL_APPFVT_01_SQLFacturasRendidas[[#This Row],[usu_codigo]]="","",1)</f>
        <v>1</v>
      </c>
    </row>
    <row r="444" spans="1:10" x14ac:dyDescent="0.25">
      <c r="A444">
        <v>1</v>
      </c>
      <c r="B444">
        <v>3</v>
      </c>
      <c r="C444" t="s">
        <v>11</v>
      </c>
      <c r="D444" t="s">
        <v>15</v>
      </c>
      <c r="E444" t="s">
        <v>41</v>
      </c>
      <c r="F444">
        <v>3419</v>
      </c>
      <c r="G444">
        <f>+YEAR(Tabla__192.168.1.8_POSEIDONSQL_APPFVT_01_SQLFacturasRendidas[[#This Row],[f_facturacion]])</f>
        <v>2018</v>
      </c>
      <c r="H44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44">
        <f>+IF(Tabla__192.168.1.8_POSEIDONSQL_APPFVT_01_SQLFacturasRendidas[[#This Row],[epc_nombre]]="RENDIDA",1,0)</f>
        <v>1</v>
      </c>
      <c r="J444">
        <f>+IF(Tabla__192.168.1.8_POSEIDONSQL_APPFVT_01_SQLFacturasRendidas[[#This Row],[usu_codigo]]="","",1)</f>
        <v>1</v>
      </c>
    </row>
    <row r="445" spans="1:10" x14ac:dyDescent="0.25">
      <c r="A445">
        <v>1</v>
      </c>
      <c r="B445">
        <v>3</v>
      </c>
      <c r="C445" t="s">
        <v>11</v>
      </c>
      <c r="D445" t="s">
        <v>15</v>
      </c>
      <c r="E445" t="s">
        <v>41</v>
      </c>
      <c r="F445">
        <v>3420</v>
      </c>
      <c r="G445">
        <f>+YEAR(Tabla__192.168.1.8_POSEIDONSQL_APPFVT_01_SQLFacturasRendidas[[#This Row],[f_facturacion]])</f>
        <v>2018</v>
      </c>
      <c r="H44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45">
        <f>+IF(Tabla__192.168.1.8_POSEIDONSQL_APPFVT_01_SQLFacturasRendidas[[#This Row],[epc_nombre]]="RENDIDA",1,0)</f>
        <v>1</v>
      </c>
      <c r="J445">
        <f>+IF(Tabla__192.168.1.8_POSEIDONSQL_APPFVT_01_SQLFacturasRendidas[[#This Row],[usu_codigo]]="","",1)</f>
        <v>1</v>
      </c>
    </row>
    <row r="446" spans="1:10" x14ac:dyDescent="0.25">
      <c r="A446">
        <v>1</v>
      </c>
      <c r="B446">
        <v>3</v>
      </c>
      <c r="C446" t="s">
        <v>11</v>
      </c>
      <c r="D446" t="s">
        <v>15</v>
      </c>
      <c r="E446" t="s">
        <v>41</v>
      </c>
      <c r="F446">
        <v>3421</v>
      </c>
      <c r="G446">
        <f>+YEAR(Tabla__192.168.1.8_POSEIDONSQL_APPFVT_01_SQLFacturasRendidas[[#This Row],[f_facturacion]])</f>
        <v>2018</v>
      </c>
      <c r="H44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46">
        <f>+IF(Tabla__192.168.1.8_POSEIDONSQL_APPFVT_01_SQLFacturasRendidas[[#This Row],[epc_nombre]]="RENDIDA",1,0)</f>
        <v>1</v>
      </c>
      <c r="J446">
        <f>+IF(Tabla__192.168.1.8_POSEIDONSQL_APPFVT_01_SQLFacturasRendidas[[#This Row],[usu_codigo]]="","",1)</f>
        <v>1</v>
      </c>
    </row>
    <row r="447" spans="1:10" x14ac:dyDescent="0.25">
      <c r="A447">
        <v>1</v>
      </c>
      <c r="B447">
        <v>3</v>
      </c>
      <c r="C447" t="s">
        <v>11</v>
      </c>
      <c r="D447" t="s">
        <v>15</v>
      </c>
      <c r="E447" t="s">
        <v>41</v>
      </c>
      <c r="F447">
        <v>3422</v>
      </c>
      <c r="G447">
        <f>+YEAR(Tabla__192.168.1.8_POSEIDONSQL_APPFVT_01_SQLFacturasRendidas[[#This Row],[f_facturacion]])</f>
        <v>2018</v>
      </c>
      <c r="H44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47">
        <f>+IF(Tabla__192.168.1.8_POSEIDONSQL_APPFVT_01_SQLFacturasRendidas[[#This Row],[epc_nombre]]="RENDIDA",1,0)</f>
        <v>1</v>
      </c>
      <c r="J447">
        <f>+IF(Tabla__192.168.1.8_POSEIDONSQL_APPFVT_01_SQLFacturasRendidas[[#This Row],[usu_codigo]]="","",1)</f>
        <v>1</v>
      </c>
    </row>
    <row r="448" spans="1:10" x14ac:dyDescent="0.25">
      <c r="A448">
        <v>1</v>
      </c>
      <c r="B448">
        <v>3</v>
      </c>
      <c r="C448" t="s">
        <v>11</v>
      </c>
      <c r="D448" t="s">
        <v>15</v>
      </c>
      <c r="E448" t="s">
        <v>41</v>
      </c>
      <c r="F448">
        <v>3423</v>
      </c>
      <c r="G448">
        <f>+YEAR(Tabla__192.168.1.8_POSEIDONSQL_APPFVT_01_SQLFacturasRendidas[[#This Row],[f_facturacion]])</f>
        <v>2018</v>
      </c>
      <c r="H44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48">
        <f>+IF(Tabla__192.168.1.8_POSEIDONSQL_APPFVT_01_SQLFacturasRendidas[[#This Row],[epc_nombre]]="RENDIDA",1,0)</f>
        <v>1</v>
      </c>
      <c r="J448">
        <f>+IF(Tabla__192.168.1.8_POSEIDONSQL_APPFVT_01_SQLFacturasRendidas[[#This Row],[usu_codigo]]="","",1)</f>
        <v>1</v>
      </c>
    </row>
    <row r="449" spans="1:10" x14ac:dyDescent="0.25">
      <c r="A449">
        <v>1</v>
      </c>
      <c r="B449">
        <v>3</v>
      </c>
      <c r="C449" t="s">
        <v>11</v>
      </c>
      <c r="D449" t="s">
        <v>15</v>
      </c>
      <c r="E449" t="s">
        <v>41</v>
      </c>
      <c r="F449">
        <v>3424</v>
      </c>
      <c r="G449">
        <f>+YEAR(Tabla__192.168.1.8_POSEIDONSQL_APPFVT_01_SQLFacturasRendidas[[#This Row],[f_facturacion]])</f>
        <v>2018</v>
      </c>
      <c r="H44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49">
        <f>+IF(Tabla__192.168.1.8_POSEIDONSQL_APPFVT_01_SQLFacturasRendidas[[#This Row],[epc_nombre]]="RENDIDA",1,0)</f>
        <v>1</v>
      </c>
      <c r="J449">
        <f>+IF(Tabla__192.168.1.8_POSEIDONSQL_APPFVT_01_SQLFacturasRendidas[[#This Row],[usu_codigo]]="","",1)</f>
        <v>1</v>
      </c>
    </row>
    <row r="450" spans="1:10" x14ac:dyDescent="0.25">
      <c r="A450">
        <v>1</v>
      </c>
      <c r="B450">
        <v>3</v>
      </c>
      <c r="C450" t="s">
        <v>11</v>
      </c>
      <c r="D450" t="s">
        <v>15</v>
      </c>
      <c r="E450" t="s">
        <v>41</v>
      </c>
      <c r="F450">
        <v>3425</v>
      </c>
      <c r="G450">
        <f>+YEAR(Tabla__192.168.1.8_POSEIDONSQL_APPFVT_01_SQLFacturasRendidas[[#This Row],[f_facturacion]])</f>
        <v>2018</v>
      </c>
      <c r="H45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50">
        <f>+IF(Tabla__192.168.1.8_POSEIDONSQL_APPFVT_01_SQLFacturasRendidas[[#This Row],[epc_nombre]]="RENDIDA",1,0)</f>
        <v>1</v>
      </c>
      <c r="J450">
        <f>+IF(Tabla__192.168.1.8_POSEIDONSQL_APPFVT_01_SQLFacturasRendidas[[#This Row],[usu_codigo]]="","",1)</f>
        <v>1</v>
      </c>
    </row>
    <row r="451" spans="1:10" x14ac:dyDescent="0.25">
      <c r="A451">
        <v>1</v>
      </c>
      <c r="B451">
        <v>3</v>
      </c>
      <c r="C451" t="s">
        <v>11</v>
      </c>
      <c r="D451" t="s">
        <v>15</v>
      </c>
      <c r="E451" t="s">
        <v>42</v>
      </c>
      <c r="F451">
        <v>3480</v>
      </c>
      <c r="G451">
        <f>+YEAR(Tabla__192.168.1.8_POSEIDONSQL_APPFVT_01_SQLFacturasRendidas[[#This Row],[f_facturacion]])</f>
        <v>2018</v>
      </c>
      <c r="H45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51">
        <f>+IF(Tabla__192.168.1.8_POSEIDONSQL_APPFVT_01_SQLFacturasRendidas[[#This Row],[epc_nombre]]="RENDIDA",1,0)</f>
        <v>1</v>
      </c>
      <c r="J451">
        <f>+IF(Tabla__192.168.1.8_POSEIDONSQL_APPFVT_01_SQLFacturasRendidas[[#This Row],[usu_codigo]]="","",1)</f>
        <v>1</v>
      </c>
    </row>
    <row r="452" spans="1:10" x14ac:dyDescent="0.25">
      <c r="A452">
        <v>1</v>
      </c>
      <c r="B452">
        <v>3</v>
      </c>
      <c r="C452" t="s">
        <v>11</v>
      </c>
      <c r="D452" t="s">
        <v>15</v>
      </c>
      <c r="E452" t="s">
        <v>42</v>
      </c>
      <c r="F452">
        <v>3481</v>
      </c>
      <c r="G452">
        <f>+YEAR(Tabla__192.168.1.8_POSEIDONSQL_APPFVT_01_SQLFacturasRendidas[[#This Row],[f_facturacion]])</f>
        <v>2018</v>
      </c>
      <c r="H45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52">
        <f>+IF(Tabla__192.168.1.8_POSEIDONSQL_APPFVT_01_SQLFacturasRendidas[[#This Row],[epc_nombre]]="RENDIDA",1,0)</f>
        <v>1</v>
      </c>
      <c r="J452">
        <f>+IF(Tabla__192.168.1.8_POSEIDONSQL_APPFVT_01_SQLFacturasRendidas[[#This Row],[usu_codigo]]="","",1)</f>
        <v>1</v>
      </c>
    </row>
    <row r="453" spans="1:10" x14ac:dyDescent="0.25">
      <c r="A453">
        <v>1</v>
      </c>
      <c r="B453">
        <v>3</v>
      </c>
      <c r="C453" t="s">
        <v>11</v>
      </c>
      <c r="D453" t="s">
        <v>15</v>
      </c>
      <c r="E453" t="s">
        <v>42</v>
      </c>
      <c r="F453">
        <v>3482</v>
      </c>
      <c r="G453">
        <f>+YEAR(Tabla__192.168.1.8_POSEIDONSQL_APPFVT_01_SQLFacturasRendidas[[#This Row],[f_facturacion]])</f>
        <v>2018</v>
      </c>
      <c r="H45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53">
        <f>+IF(Tabla__192.168.1.8_POSEIDONSQL_APPFVT_01_SQLFacturasRendidas[[#This Row],[epc_nombre]]="RENDIDA",1,0)</f>
        <v>1</v>
      </c>
      <c r="J453">
        <f>+IF(Tabla__192.168.1.8_POSEIDONSQL_APPFVT_01_SQLFacturasRendidas[[#This Row],[usu_codigo]]="","",1)</f>
        <v>1</v>
      </c>
    </row>
    <row r="454" spans="1:10" x14ac:dyDescent="0.25">
      <c r="A454">
        <v>1</v>
      </c>
      <c r="B454">
        <v>3</v>
      </c>
      <c r="C454" t="s">
        <v>11</v>
      </c>
      <c r="D454" t="s">
        <v>15</v>
      </c>
      <c r="E454" t="s">
        <v>42</v>
      </c>
      <c r="F454">
        <v>3483</v>
      </c>
      <c r="G454">
        <f>+YEAR(Tabla__192.168.1.8_POSEIDONSQL_APPFVT_01_SQLFacturasRendidas[[#This Row],[f_facturacion]])</f>
        <v>2018</v>
      </c>
      <c r="H45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54">
        <f>+IF(Tabla__192.168.1.8_POSEIDONSQL_APPFVT_01_SQLFacturasRendidas[[#This Row],[epc_nombre]]="RENDIDA",1,0)</f>
        <v>1</v>
      </c>
      <c r="J454">
        <f>+IF(Tabla__192.168.1.8_POSEIDONSQL_APPFVT_01_SQLFacturasRendidas[[#This Row],[usu_codigo]]="","",1)</f>
        <v>1</v>
      </c>
    </row>
    <row r="455" spans="1:10" x14ac:dyDescent="0.25">
      <c r="A455">
        <v>1</v>
      </c>
      <c r="B455">
        <v>3</v>
      </c>
      <c r="C455" t="s">
        <v>11</v>
      </c>
      <c r="D455" t="s">
        <v>15</v>
      </c>
      <c r="E455" t="s">
        <v>42</v>
      </c>
      <c r="F455">
        <v>3484</v>
      </c>
      <c r="G455">
        <f>+YEAR(Tabla__192.168.1.8_POSEIDONSQL_APPFVT_01_SQLFacturasRendidas[[#This Row],[f_facturacion]])</f>
        <v>2018</v>
      </c>
      <c r="H45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55">
        <f>+IF(Tabla__192.168.1.8_POSEIDONSQL_APPFVT_01_SQLFacturasRendidas[[#This Row],[epc_nombre]]="RENDIDA",1,0)</f>
        <v>1</v>
      </c>
      <c r="J455">
        <f>+IF(Tabla__192.168.1.8_POSEIDONSQL_APPFVT_01_SQLFacturasRendidas[[#This Row],[usu_codigo]]="","",1)</f>
        <v>1</v>
      </c>
    </row>
    <row r="456" spans="1:10" x14ac:dyDescent="0.25">
      <c r="A456">
        <v>1</v>
      </c>
      <c r="B456">
        <v>3</v>
      </c>
      <c r="C456" t="s">
        <v>11</v>
      </c>
      <c r="D456" t="s">
        <v>15</v>
      </c>
      <c r="E456" t="s">
        <v>42</v>
      </c>
      <c r="F456">
        <v>3485</v>
      </c>
      <c r="G456">
        <f>+YEAR(Tabla__192.168.1.8_POSEIDONSQL_APPFVT_01_SQLFacturasRendidas[[#This Row],[f_facturacion]])</f>
        <v>2018</v>
      </c>
      <c r="H45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56">
        <f>+IF(Tabla__192.168.1.8_POSEIDONSQL_APPFVT_01_SQLFacturasRendidas[[#This Row],[epc_nombre]]="RENDIDA",1,0)</f>
        <v>1</v>
      </c>
      <c r="J456">
        <f>+IF(Tabla__192.168.1.8_POSEIDONSQL_APPFVT_01_SQLFacturasRendidas[[#This Row],[usu_codigo]]="","",1)</f>
        <v>1</v>
      </c>
    </row>
    <row r="457" spans="1:10" x14ac:dyDescent="0.25">
      <c r="A457">
        <v>1</v>
      </c>
      <c r="B457">
        <v>3</v>
      </c>
      <c r="C457" t="s">
        <v>11</v>
      </c>
      <c r="D457" t="s">
        <v>15</v>
      </c>
      <c r="E457" t="s">
        <v>42</v>
      </c>
      <c r="F457">
        <v>3486</v>
      </c>
      <c r="G457">
        <f>+YEAR(Tabla__192.168.1.8_POSEIDONSQL_APPFVT_01_SQLFacturasRendidas[[#This Row],[f_facturacion]])</f>
        <v>2018</v>
      </c>
      <c r="H45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57">
        <f>+IF(Tabla__192.168.1.8_POSEIDONSQL_APPFVT_01_SQLFacturasRendidas[[#This Row],[epc_nombre]]="RENDIDA",1,0)</f>
        <v>1</v>
      </c>
      <c r="J457">
        <f>+IF(Tabla__192.168.1.8_POSEIDONSQL_APPFVT_01_SQLFacturasRendidas[[#This Row],[usu_codigo]]="","",1)</f>
        <v>1</v>
      </c>
    </row>
    <row r="458" spans="1:10" x14ac:dyDescent="0.25">
      <c r="A458">
        <v>1</v>
      </c>
      <c r="B458">
        <v>3</v>
      </c>
      <c r="C458" t="s">
        <v>11</v>
      </c>
      <c r="D458" t="s">
        <v>15</v>
      </c>
      <c r="E458" t="s">
        <v>42</v>
      </c>
      <c r="F458">
        <v>3487</v>
      </c>
      <c r="G458">
        <f>+YEAR(Tabla__192.168.1.8_POSEIDONSQL_APPFVT_01_SQLFacturasRendidas[[#This Row],[f_facturacion]])</f>
        <v>2018</v>
      </c>
      <c r="H45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58">
        <f>+IF(Tabla__192.168.1.8_POSEIDONSQL_APPFVT_01_SQLFacturasRendidas[[#This Row],[epc_nombre]]="RENDIDA",1,0)</f>
        <v>1</v>
      </c>
      <c r="J458">
        <f>+IF(Tabla__192.168.1.8_POSEIDONSQL_APPFVT_01_SQLFacturasRendidas[[#This Row],[usu_codigo]]="","",1)</f>
        <v>1</v>
      </c>
    </row>
    <row r="459" spans="1:10" x14ac:dyDescent="0.25">
      <c r="A459">
        <v>1</v>
      </c>
      <c r="B459">
        <v>3</v>
      </c>
      <c r="C459" t="s">
        <v>11</v>
      </c>
      <c r="D459" t="s">
        <v>15</v>
      </c>
      <c r="E459" t="s">
        <v>42</v>
      </c>
      <c r="F459">
        <v>3488</v>
      </c>
      <c r="G459">
        <f>+YEAR(Tabla__192.168.1.8_POSEIDONSQL_APPFVT_01_SQLFacturasRendidas[[#This Row],[f_facturacion]])</f>
        <v>2018</v>
      </c>
      <c r="H45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59">
        <f>+IF(Tabla__192.168.1.8_POSEIDONSQL_APPFVT_01_SQLFacturasRendidas[[#This Row],[epc_nombre]]="RENDIDA",1,0)</f>
        <v>1</v>
      </c>
      <c r="J459">
        <f>+IF(Tabla__192.168.1.8_POSEIDONSQL_APPFVT_01_SQLFacturasRendidas[[#This Row],[usu_codigo]]="","",1)</f>
        <v>1</v>
      </c>
    </row>
    <row r="460" spans="1:10" x14ac:dyDescent="0.25">
      <c r="A460">
        <v>1</v>
      </c>
      <c r="B460">
        <v>3</v>
      </c>
      <c r="C460" t="s">
        <v>11</v>
      </c>
      <c r="D460" t="s">
        <v>15</v>
      </c>
      <c r="E460" t="s">
        <v>42</v>
      </c>
      <c r="F460">
        <v>3489</v>
      </c>
      <c r="G460">
        <f>+YEAR(Tabla__192.168.1.8_POSEIDONSQL_APPFVT_01_SQLFacturasRendidas[[#This Row],[f_facturacion]])</f>
        <v>2018</v>
      </c>
      <c r="H46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60">
        <f>+IF(Tabla__192.168.1.8_POSEIDONSQL_APPFVT_01_SQLFacturasRendidas[[#This Row],[epc_nombre]]="RENDIDA",1,0)</f>
        <v>1</v>
      </c>
      <c r="J460">
        <f>+IF(Tabla__192.168.1.8_POSEIDONSQL_APPFVT_01_SQLFacturasRendidas[[#This Row],[usu_codigo]]="","",1)</f>
        <v>1</v>
      </c>
    </row>
    <row r="461" spans="1:10" x14ac:dyDescent="0.25">
      <c r="A461">
        <v>1</v>
      </c>
      <c r="B461">
        <v>3</v>
      </c>
      <c r="C461" t="s">
        <v>11</v>
      </c>
      <c r="D461" t="s">
        <v>15</v>
      </c>
      <c r="E461" t="s">
        <v>42</v>
      </c>
      <c r="F461">
        <v>3490</v>
      </c>
      <c r="G461">
        <f>+YEAR(Tabla__192.168.1.8_POSEIDONSQL_APPFVT_01_SQLFacturasRendidas[[#This Row],[f_facturacion]])</f>
        <v>2018</v>
      </c>
      <c r="H46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61">
        <f>+IF(Tabla__192.168.1.8_POSEIDONSQL_APPFVT_01_SQLFacturasRendidas[[#This Row],[epc_nombre]]="RENDIDA",1,0)</f>
        <v>1</v>
      </c>
      <c r="J461">
        <f>+IF(Tabla__192.168.1.8_POSEIDONSQL_APPFVT_01_SQLFacturasRendidas[[#This Row],[usu_codigo]]="","",1)</f>
        <v>1</v>
      </c>
    </row>
    <row r="462" spans="1:10" x14ac:dyDescent="0.25">
      <c r="A462">
        <v>1</v>
      </c>
      <c r="B462">
        <v>3</v>
      </c>
      <c r="C462" t="s">
        <v>11</v>
      </c>
      <c r="D462" t="s">
        <v>15</v>
      </c>
      <c r="E462" t="s">
        <v>42</v>
      </c>
      <c r="F462">
        <v>3491</v>
      </c>
      <c r="G462">
        <f>+YEAR(Tabla__192.168.1.8_POSEIDONSQL_APPFVT_01_SQLFacturasRendidas[[#This Row],[f_facturacion]])</f>
        <v>2018</v>
      </c>
      <c r="H46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62">
        <f>+IF(Tabla__192.168.1.8_POSEIDONSQL_APPFVT_01_SQLFacturasRendidas[[#This Row],[epc_nombre]]="RENDIDA",1,0)</f>
        <v>1</v>
      </c>
      <c r="J462">
        <f>+IF(Tabla__192.168.1.8_POSEIDONSQL_APPFVT_01_SQLFacturasRendidas[[#This Row],[usu_codigo]]="","",1)</f>
        <v>1</v>
      </c>
    </row>
    <row r="463" spans="1:10" x14ac:dyDescent="0.25">
      <c r="A463">
        <v>1</v>
      </c>
      <c r="B463">
        <v>3</v>
      </c>
      <c r="C463" t="s">
        <v>11</v>
      </c>
      <c r="D463" t="s">
        <v>15</v>
      </c>
      <c r="E463" t="s">
        <v>42</v>
      </c>
      <c r="F463">
        <v>3492</v>
      </c>
      <c r="G463">
        <f>+YEAR(Tabla__192.168.1.8_POSEIDONSQL_APPFVT_01_SQLFacturasRendidas[[#This Row],[f_facturacion]])</f>
        <v>2018</v>
      </c>
      <c r="H46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63">
        <f>+IF(Tabla__192.168.1.8_POSEIDONSQL_APPFVT_01_SQLFacturasRendidas[[#This Row],[epc_nombre]]="RENDIDA",1,0)</f>
        <v>1</v>
      </c>
      <c r="J463">
        <f>+IF(Tabla__192.168.1.8_POSEIDONSQL_APPFVT_01_SQLFacturasRendidas[[#This Row],[usu_codigo]]="","",1)</f>
        <v>1</v>
      </c>
    </row>
    <row r="464" spans="1:10" x14ac:dyDescent="0.25">
      <c r="A464">
        <v>1</v>
      </c>
      <c r="B464">
        <v>3</v>
      </c>
      <c r="C464" t="s">
        <v>11</v>
      </c>
      <c r="D464" t="s">
        <v>15</v>
      </c>
      <c r="E464" t="s">
        <v>42</v>
      </c>
      <c r="F464">
        <v>3493</v>
      </c>
      <c r="G464">
        <f>+YEAR(Tabla__192.168.1.8_POSEIDONSQL_APPFVT_01_SQLFacturasRendidas[[#This Row],[f_facturacion]])</f>
        <v>2018</v>
      </c>
      <c r="H46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64">
        <f>+IF(Tabla__192.168.1.8_POSEIDONSQL_APPFVT_01_SQLFacturasRendidas[[#This Row],[epc_nombre]]="RENDIDA",1,0)</f>
        <v>1</v>
      </c>
      <c r="J464">
        <f>+IF(Tabla__192.168.1.8_POSEIDONSQL_APPFVT_01_SQLFacturasRendidas[[#This Row],[usu_codigo]]="","",1)</f>
        <v>1</v>
      </c>
    </row>
    <row r="465" spans="1:10" x14ac:dyDescent="0.25">
      <c r="A465">
        <v>1</v>
      </c>
      <c r="B465">
        <v>3</v>
      </c>
      <c r="C465" t="s">
        <v>11</v>
      </c>
      <c r="D465" t="s">
        <v>15</v>
      </c>
      <c r="E465" t="s">
        <v>42</v>
      </c>
      <c r="F465">
        <v>3494</v>
      </c>
      <c r="G465">
        <f>+YEAR(Tabla__192.168.1.8_POSEIDONSQL_APPFVT_01_SQLFacturasRendidas[[#This Row],[f_facturacion]])</f>
        <v>2018</v>
      </c>
      <c r="H46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65">
        <f>+IF(Tabla__192.168.1.8_POSEIDONSQL_APPFVT_01_SQLFacturasRendidas[[#This Row],[epc_nombre]]="RENDIDA",1,0)</f>
        <v>1</v>
      </c>
      <c r="J465">
        <f>+IF(Tabla__192.168.1.8_POSEIDONSQL_APPFVT_01_SQLFacturasRendidas[[#This Row],[usu_codigo]]="","",1)</f>
        <v>1</v>
      </c>
    </row>
    <row r="466" spans="1:10" x14ac:dyDescent="0.25">
      <c r="A466">
        <v>1</v>
      </c>
      <c r="B466">
        <v>3</v>
      </c>
      <c r="C466" t="s">
        <v>11</v>
      </c>
      <c r="D466" t="s">
        <v>15</v>
      </c>
      <c r="E466" t="s">
        <v>42</v>
      </c>
      <c r="F466">
        <v>3495</v>
      </c>
      <c r="G466">
        <f>+YEAR(Tabla__192.168.1.8_POSEIDONSQL_APPFVT_01_SQLFacturasRendidas[[#This Row],[f_facturacion]])</f>
        <v>2018</v>
      </c>
      <c r="H46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66">
        <f>+IF(Tabla__192.168.1.8_POSEIDONSQL_APPFVT_01_SQLFacturasRendidas[[#This Row],[epc_nombre]]="RENDIDA",1,0)</f>
        <v>1</v>
      </c>
      <c r="J466">
        <f>+IF(Tabla__192.168.1.8_POSEIDONSQL_APPFVT_01_SQLFacturasRendidas[[#This Row],[usu_codigo]]="","",1)</f>
        <v>1</v>
      </c>
    </row>
    <row r="467" spans="1:10" x14ac:dyDescent="0.25">
      <c r="A467">
        <v>1</v>
      </c>
      <c r="B467">
        <v>3</v>
      </c>
      <c r="C467" t="s">
        <v>11</v>
      </c>
      <c r="D467" t="s">
        <v>15</v>
      </c>
      <c r="E467" t="s">
        <v>42</v>
      </c>
      <c r="F467">
        <v>3496</v>
      </c>
      <c r="G467">
        <f>+YEAR(Tabla__192.168.1.8_POSEIDONSQL_APPFVT_01_SQLFacturasRendidas[[#This Row],[f_facturacion]])</f>
        <v>2018</v>
      </c>
      <c r="H46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67">
        <f>+IF(Tabla__192.168.1.8_POSEIDONSQL_APPFVT_01_SQLFacturasRendidas[[#This Row],[epc_nombre]]="RENDIDA",1,0)</f>
        <v>1</v>
      </c>
      <c r="J467">
        <f>+IF(Tabla__192.168.1.8_POSEIDONSQL_APPFVT_01_SQLFacturasRendidas[[#This Row],[usu_codigo]]="","",1)</f>
        <v>1</v>
      </c>
    </row>
    <row r="468" spans="1:10" x14ac:dyDescent="0.25">
      <c r="A468">
        <v>1</v>
      </c>
      <c r="B468">
        <v>3</v>
      </c>
      <c r="C468" t="s">
        <v>11</v>
      </c>
      <c r="D468" t="s">
        <v>15</v>
      </c>
      <c r="E468" t="s">
        <v>42</v>
      </c>
      <c r="F468">
        <v>3497</v>
      </c>
      <c r="G468">
        <f>+YEAR(Tabla__192.168.1.8_POSEIDONSQL_APPFVT_01_SQLFacturasRendidas[[#This Row],[f_facturacion]])</f>
        <v>2018</v>
      </c>
      <c r="H46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68">
        <f>+IF(Tabla__192.168.1.8_POSEIDONSQL_APPFVT_01_SQLFacturasRendidas[[#This Row],[epc_nombre]]="RENDIDA",1,0)</f>
        <v>1</v>
      </c>
      <c r="J468">
        <f>+IF(Tabla__192.168.1.8_POSEIDONSQL_APPFVT_01_SQLFacturasRendidas[[#This Row],[usu_codigo]]="","",1)</f>
        <v>1</v>
      </c>
    </row>
    <row r="469" spans="1:10" x14ac:dyDescent="0.25">
      <c r="A469">
        <v>1</v>
      </c>
      <c r="B469">
        <v>3</v>
      </c>
      <c r="C469" t="s">
        <v>11</v>
      </c>
      <c r="D469" t="s">
        <v>15</v>
      </c>
      <c r="E469" t="s">
        <v>42</v>
      </c>
      <c r="F469">
        <v>3498</v>
      </c>
      <c r="G469">
        <f>+YEAR(Tabla__192.168.1.8_POSEIDONSQL_APPFVT_01_SQLFacturasRendidas[[#This Row],[f_facturacion]])</f>
        <v>2018</v>
      </c>
      <c r="H46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69">
        <f>+IF(Tabla__192.168.1.8_POSEIDONSQL_APPFVT_01_SQLFacturasRendidas[[#This Row],[epc_nombre]]="RENDIDA",1,0)</f>
        <v>1</v>
      </c>
      <c r="J469">
        <f>+IF(Tabla__192.168.1.8_POSEIDONSQL_APPFVT_01_SQLFacturasRendidas[[#This Row],[usu_codigo]]="","",1)</f>
        <v>1</v>
      </c>
    </row>
    <row r="470" spans="1:10" x14ac:dyDescent="0.25">
      <c r="A470">
        <v>1</v>
      </c>
      <c r="B470">
        <v>3</v>
      </c>
      <c r="C470" t="s">
        <v>11</v>
      </c>
      <c r="D470" t="s">
        <v>15</v>
      </c>
      <c r="E470" t="s">
        <v>42</v>
      </c>
      <c r="F470">
        <v>3499</v>
      </c>
      <c r="G470">
        <f>+YEAR(Tabla__192.168.1.8_POSEIDONSQL_APPFVT_01_SQLFacturasRendidas[[#This Row],[f_facturacion]])</f>
        <v>2018</v>
      </c>
      <c r="H47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70">
        <f>+IF(Tabla__192.168.1.8_POSEIDONSQL_APPFVT_01_SQLFacturasRendidas[[#This Row],[epc_nombre]]="RENDIDA",1,0)</f>
        <v>1</v>
      </c>
      <c r="J470">
        <f>+IF(Tabla__192.168.1.8_POSEIDONSQL_APPFVT_01_SQLFacturasRendidas[[#This Row],[usu_codigo]]="","",1)</f>
        <v>1</v>
      </c>
    </row>
    <row r="471" spans="1:10" x14ac:dyDescent="0.25">
      <c r="A471">
        <v>1</v>
      </c>
      <c r="B471">
        <v>3</v>
      </c>
      <c r="C471" t="s">
        <v>11</v>
      </c>
      <c r="D471" t="s">
        <v>15</v>
      </c>
      <c r="E471" t="s">
        <v>42</v>
      </c>
      <c r="F471">
        <v>3500</v>
      </c>
      <c r="G471">
        <f>+YEAR(Tabla__192.168.1.8_POSEIDONSQL_APPFVT_01_SQLFacturasRendidas[[#This Row],[f_facturacion]])</f>
        <v>2018</v>
      </c>
      <c r="H47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71">
        <f>+IF(Tabla__192.168.1.8_POSEIDONSQL_APPFVT_01_SQLFacturasRendidas[[#This Row],[epc_nombre]]="RENDIDA",1,0)</f>
        <v>1</v>
      </c>
      <c r="J471">
        <f>+IF(Tabla__192.168.1.8_POSEIDONSQL_APPFVT_01_SQLFacturasRendidas[[#This Row],[usu_codigo]]="","",1)</f>
        <v>1</v>
      </c>
    </row>
    <row r="472" spans="1:10" x14ac:dyDescent="0.25">
      <c r="A472">
        <v>1</v>
      </c>
      <c r="B472">
        <v>3</v>
      </c>
      <c r="C472" t="s">
        <v>11</v>
      </c>
      <c r="D472" t="s">
        <v>15</v>
      </c>
      <c r="E472" t="s">
        <v>42</v>
      </c>
      <c r="F472">
        <v>3501</v>
      </c>
      <c r="G472">
        <f>+YEAR(Tabla__192.168.1.8_POSEIDONSQL_APPFVT_01_SQLFacturasRendidas[[#This Row],[f_facturacion]])</f>
        <v>2018</v>
      </c>
      <c r="H47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72">
        <f>+IF(Tabla__192.168.1.8_POSEIDONSQL_APPFVT_01_SQLFacturasRendidas[[#This Row],[epc_nombre]]="RENDIDA",1,0)</f>
        <v>1</v>
      </c>
      <c r="J472">
        <f>+IF(Tabla__192.168.1.8_POSEIDONSQL_APPFVT_01_SQLFacturasRendidas[[#This Row],[usu_codigo]]="","",1)</f>
        <v>1</v>
      </c>
    </row>
    <row r="473" spans="1:10" x14ac:dyDescent="0.25">
      <c r="A473">
        <v>1</v>
      </c>
      <c r="B473">
        <v>3</v>
      </c>
      <c r="C473" t="s">
        <v>11</v>
      </c>
      <c r="D473" t="s">
        <v>15</v>
      </c>
      <c r="E473" t="s">
        <v>42</v>
      </c>
      <c r="F473">
        <v>3502</v>
      </c>
      <c r="G473">
        <f>+YEAR(Tabla__192.168.1.8_POSEIDONSQL_APPFVT_01_SQLFacturasRendidas[[#This Row],[f_facturacion]])</f>
        <v>2018</v>
      </c>
      <c r="H47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73">
        <f>+IF(Tabla__192.168.1.8_POSEIDONSQL_APPFVT_01_SQLFacturasRendidas[[#This Row],[epc_nombre]]="RENDIDA",1,0)</f>
        <v>1</v>
      </c>
      <c r="J473">
        <f>+IF(Tabla__192.168.1.8_POSEIDONSQL_APPFVT_01_SQLFacturasRendidas[[#This Row],[usu_codigo]]="","",1)</f>
        <v>1</v>
      </c>
    </row>
    <row r="474" spans="1:10" x14ac:dyDescent="0.25">
      <c r="A474">
        <v>1</v>
      </c>
      <c r="B474">
        <v>3</v>
      </c>
      <c r="C474" t="s">
        <v>11</v>
      </c>
      <c r="D474" t="s">
        <v>15</v>
      </c>
      <c r="E474" t="s">
        <v>42</v>
      </c>
      <c r="F474">
        <v>3503</v>
      </c>
      <c r="G474">
        <f>+YEAR(Tabla__192.168.1.8_POSEIDONSQL_APPFVT_01_SQLFacturasRendidas[[#This Row],[f_facturacion]])</f>
        <v>2018</v>
      </c>
      <c r="H47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74">
        <f>+IF(Tabla__192.168.1.8_POSEIDONSQL_APPFVT_01_SQLFacturasRendidas[[#This Row],[epc_nombre]]="RENDIDA",1,0)</f>
        <v>1</v>
      </c>
      <c r="J474">
        <f>+IF(Tabla__192.168.1.8_POSEIDONSQL_APPFVT_01_SQLFacturasRendidas[[#This Row],[usu_codigo]]="","",1)</f>
        <v>1</v>
      </c>
    </row>
    <row r="475" spans="1:10" x14ac:dyDescent="0.25">
      <c r="A475">
        <v>1</v>
      </c>
      <c r="B475">
        <v>3</v>
      </c>
      <c r="C475" t="s">
        <v>11</v>
      </c>
      <c r="D475" t="s">
        <v>15</v>
      </c>
      <c r="E475" t="s">
        <v>42</v>
      </c>
      <c r="F475">
        <v>3504</v>
      </c>
      <c r="G475">
        <f>+YEAR(Tabla__192.168.1.8_POSEIDONSQL_APPFVT_01_SQLFacturasRendidas[[#This Row],[f_facturacion]])</f>
        <v>2018</v>
      </c>
      <c r="H47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75">
        <f>+IF(Tabla__192.168.1.8_POSEIDONSQL_APPFVT_01_SQLFacturasRendidas[[#This Row],[epc_nombre]]="RENDIDA",1,0)</f>
        <v>1</v>
      </c>
      <c r="J475">
        <f>+IF(Tabla__192.168.1.8_POSEIDONSQL_APPFVT_01_SQLFacturasRendidas[[#This Row],[usu_codigo]]="","",1)</f>
        <v>1</v>
      </c>
    </row>
    <row r="476" spans="1:10" x14ac:dyDescent="0.25">
      <c r="A476">
        <v>1</v>
      </c>
      <c r="B476">
        <v>3</v>
      </c>
      <c r="C476" t="s">
        <v>11</v>
      </c>
      <c r="D476" t="s">
        <v>15</v>
      </c>
      <c r="E476" t="s">
        <v>42</v>
      </c>
      <c r="F476">
        <v>3505</v>
      </c>
      <c r="G476">
        <f>+YEAR(Tabla__192.168.1.8_POSEIDONSQL_APPFVT_01_SQLFacturasRendidas[[#This Row],[f_facturacion]])</f>
        <v>2018</v>
      </c>
      <c r="H47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76">
        <f>+IF(Tabla__192.168.1.8_POSEIDONSQL_APPFVT_01_SQLFacturasRendidas[[#This Row],[epc_nombre]]="RENDIDA",1,0)</f>
        <v>1</v>
      </c>
      <c r="J476">
        <f>+IF(Tabla__192.168.1.8_POSEIDONSQL_APPFVT_01_SQLFacturasRendidas[[#This Row],[usu_codigo]]="","",1)</f>
        <v>1</v>
      </c>
    </row>
    <row r="477" spans="1:10" x14ac:dyDescent="0.25">
      <c r="A477">
        <v>1</v>
      </c>
      <c r="B477">
        <v>3</v>
      </c>
      <c r="C477" t="s">
        <v>11</v>
      </c>
      <c r="D477" t="s">
        <v>15</v>
      </c>
      <c r="E477" t="s">
        <v>42</v>
      </c>
      <c r="F477">
        <v>3506</v>
      </c>
      <c r="G477">
        <f>+YEAR(Tabla__192.168.1.8_POSEIDONSQL_APPFVT_01_SQLFacturasRendidas[[#This Row],[f_facturacion]])</f>
        <v>2018</v>
      </c>
      <c r="H47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77">
        <f>+IF(Tabla__192.168.1.8_POSEIDONSQL_APPFVT_01_SQLFacturasRendidas[[#This Row],[epc_nombre]]="RENDIDA",1,0)</f>
        <v>1</v>
      </c>
      <c r="J477">
        <f>+IF(Tabla__192.168.1.8_POSEIDONSQL_APPFVT_01_SQLFacturasRendidas[[#This Row],[usu_codigo]]="","",1)</f>
        <v>1</v>
      </c>
    </row>
    <row r="478" spans="1:10" x14ac:dyDescent="0.25">
      <c r="A478">
        <v>1</v>
      </c>
      <c r="B478">
        <v>3</v>
      </c>
      <c r="C478" t="s">
        <v>11</v>
      </c>
      <c r="D478" t="s">
        <v>15</v>
      </c>
      <c r="E478" t="s">
        <v>42</v>
      </c>
      <c r="F478">
        <v>3507</v>
      </c>
      <c r="G478">
        <f>+YEAR(Tabla__192.168.1.8_POSEIDONSQL_APPFVT_01_SQLFacturasRendidas[[#This Row],[f_facturacion]])</f>
        <v>2018</v>
      </c>
      <c r="H47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78">
        <f>+IF(Tabla__192.168.1.8_POSEIDONSQL_APPFVT_01_SQLFacturasRendidas[[#This Row],[epc_nombre]]="RENDIDA",1,0)</f>
        <v>1</v>
      </c>
      <c r="J478">
        <f>+IF(Tabla__192.168.1.8_POSEIDONSQL_APPFVT_01_SQLFacturasRendidas[[#This Row],[usu_codigo]]="","",1)</f>
        <v>1</v>
      </c>
    </row>
    <row r="479" spans="1:10" x14ac:dyDescent="0.25">
      <c r="A479">
        <v>1</v>
      </c>
      <c r="B479">
        <v>3</v>
      </c>
      <c r="C479" t="s">
        <v>11</v>
      </c>
      <c r="D479" t="s">
        <v>15</v>
      </c>
      <c r="E479" t="s">
        <v>42</v>
      </c>
      <c r="F479">
        <v>3508</v>
      </c>
      <c r="G479">
        <f>+YEAR(Tabla__192.168.1.8_POSEIDONSQL_APPFVT_01_SQLFacturasRendidas[[#This Row],[f_facturacion]])</f>
        <v>2018</v>
      </c>
      <c r="H47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79">
        <f>+IF(Tabla__192.168.1.8_POSEIDONSQL_APPFVT_01_SQLFacturasRendidas[[#This Row],[epc_nombre]]="RENDIDA",1,0)</f>
        <v>1</v>
      </c>
      <c r="J479">
        <f>+IF(Tabla__192.168.1.8_POSEIDONSQL_APPFVT_01_SQLFacturasRendidas[[#This Row],[usu_codigo]]="","",1)</f>
        <v>1</v>
      </c>
    </row>
    <row r="480" spans="1:10" x14ac:dyDescent="0.25">
      <c r="A480">
        <v>1</v>
      </c>
      <c r="B480">
        <v>3</v>
      </c>
      <c r="C480" t="s">
        <v>11</v>
      </c>
      <c r="D480" t="s">
        <v>15</v>
      </c>
      <c r="E480" t="s">
        <v>42</v>
      </c>
      <c r="F480">
        <v>3509</v>
      </c>
      <c r="G480">
        <f>+YEAR(Tabla__192.168.1.8_POSEIDONSQL_APPFVT_01_SQLFacturasRendidas[[#This Row],[f_facturacion]])</f>
        <v>2018</v>
      </c>
      <c r="H48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80">
        <f>+IF(Tabla__192.168.1.8_POSEIDONSQL_APPFVT_01_SQLFacturasRendidas[[#This Row],[epc_nombre]]="RENDIDA",1,0)</f>
        <v>1</v>
      </c>
      <c r="J480">
        <f>+IF(Tabla__192.168.1.8_POSEIDONSQL_APPFVT_01_SQLFacturasRendidas[[#This Row],[usu_codigo]]="","",1)</f>
        <v>1</v>
      </c>
    </row>
    <row r="481" spans="1:10" x14ac:dyDescent="0.25">
      <c r="A481">
        <v>1</v>
      </c>
      <c r="B481">
        <v>3</v>
      </c>
      <c r="C481" t="s">
        <v>11</v>
      </c>
      <c r="D481" t="s">
        <v>15</v>
      </c>
      <c r="E481" t="s">
        <v>42</v>
      </c>
      <c r="F481">
        <v>3510</v>
      </c>
      <c r="G481">
        <f>+YEAR(Tabla__192.168.1.8_POSEIDONSQL_APPFVT_01_SQLFacturasRendidas[[#This Row],[f_facturacion]])</f>
        <v>2018</v>
      </c>
      <c r="H48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81">
        <f>+IF(Tabla__192.168.1.8_POSEIDONSQL_APPFVT_01_SQLFacturasRendidas[[#This Row],[epc_nombre]]="RENDIDA",1,0)</f>
        <v>1</v>
      </c>
      <c r="J481">
        <f>+IF(Tabla__192.168.1.8_POSEIDONSQL_APPFVT_01_SQLFacturasRendidas[[#This Row],[usu_codigo]]="","",1)</f>
        <v>1</v>
      </c>
    </row>
    <row r="482" spans="1:10" x14ac:dyDescent="0.25">
      <c r="A482">
        <v>1</v>
      </c>
      <c r="B482">
        <v>3</v>
      </c>
      <c r="C482" t="s">
        <v>11</v>
      </c>
      <c r="D482" t="s">
        <v>15</v>
      </c>
      <c r="E482" t="s">
        <v>42</v>
      </c>
      <c r="F482">
        <v>3511</v>
      </c>
      <c r="G482">
        <f>+YEAR(Tabla__192.168.1.8_POSEIDONSQL_APPFVT_01_SQLFacturasRendidas[[#This Row],[f_facturacion]])</f>
        <v>2018</v>
      </c>
      <c r="H48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82">
        <f>+IF(Tabla__192.168.1.8_POSEIDONSQL_APPFVT_01_SQLFacturasRendidas[[#This Row],[epc_nombre]]="RENDIDA",1,0)</f>
        <v>1</v>
      </c>
      <c r="J482">
        <f>+IF(Tabla__192.168.1.8_POSEIDONSQL_APPFVT_01_SQLFacturasRendidas[[#This Row],[usu_codigo]]="","",1)</f>
        <v>1</v>
      </c>
    </row>
    <row r="483" spans="1:10" x14ac:dyDescent="0.25">
      <c r="A483">
        <v>1</v>
      </c>
      <c r="B483">
        <v>3</v>
      </c>
      <c r="C483" t="s">
        <v>11</v>
      </c>
      <c r="D483" t="s">
        <v>15</v>
      </c>
      <c r="E483" t="s">
        <v>42</v>
      </c>
      <c r="F483">
        <v>3512</v>
      </c>
      <c r="G483">
        <f>+YEAR(Tabla__192.168.1.8_POSEIDONSQL_APPFVT_01_SQLFacturasRendidas[[#This Row],[f_facturacion]])</f>
        <v>2018</v>
      </c>
      <c r="H48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83">
        <f>+IF(Tabla__192.168.1.8_POSEIDONSQL_APPFVT_01_SQLFacturasRendidas[[#This Row],[epc_nombre]]="RENDIDA",1,0)</f>
        <v>1</v>
      </c>
      <c r="J483">
        <f>+IF(Tabla__192.168.1.8_POSEIDONSQL_APPFVT_01_SQLFacturasRendidas[[#This Row],[usu_codigo]]="","",1)</f>
        <v>1</v>
      </c>
    </row>
    <row r="484" spans="1:10" x14ac:dyDescent="0.25">
      <c r="A484">
        <v>1</v>
      </c>
      <c r="B484">
        <v>3</v>
      </c>
      <c r="C484" t="s">
        <v>11</v>
      </c>
      <c r="D484" t="s">
        <v>15</v>
      </c>
      <c r="E484" t="s">
        <v>42</v>
      </c>
      <c r="F484">
        <v>3513</v>
      </c>
      <c r="G484">
        <f>+YEAR(Tabla__192.168.1.8_POSEIDONSQL_APPFVT_01_SQLFacturasRendidas[[#This Row],[f_facturacion]])</f>
        <v>2018</v>
      </c>
      <c r="H48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84">
        <f>+IF(Tabla__192.168.1.8_POSEIDONSQL_APPFVT_01_SQLFacturasRendidas[[#This Row],[epc_nombre]]="RENDIDA",1,0)</f>
        <v>1</v>
      </c>
      <c r="J484">
        <f>+IF(Tabla__192.168.1.8_POSEIDONSQL_APPFVT_01_SQLFacturasRendidas[[#This Row],[usu_codigo]]="","",1)</f>
        <v>1</v>
      </c>
    </row>
    <row r="485" spans="1:10" x14ac:dyDescent="0.25">
      <c r="A485">
        <v>1</v>
      </c>
      <c r="B485">
        <v>3</v>
      </c>
      <c r="C485" t="s">
        <v>11</v>
      </c>
      <c r="D485" t="s">
        <v>15</v>
      </c>
      <c r="E485" t="s">
        <v>42</v>
      </c>
      <c r="F485">
        <v>3514</v>
      </c>
      <c r="G485">
        <f>+YEAR(Tabla__192.168.1.8_POSEIDONSQL_APPFVT_01_SQLFacturasRendidas[[#This Row],[f_facturacion]])</f>
        <v>2018</v>
      </c>
      <c r="H48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85">
        <f>+IF(Tabla__192.168.1.8_POSEIDONSQL_APPFVT_01_SQLFacturasRendidas[[#This Row],[epc_nombre]]="RENDIDA",1,0)</f>
        <v>1</v>
      </c>
      <c r="J485">
        <f>+IF(Tabla__192.168.1.8_POSEIDONSQL_APPFVT_01_SQLFacturasRendidas[[#This Row],[usu_codigo]]="","",1)</f>
        <v>1</v>
      </c>
    </row>
    <row r="486" spans="1:10" x14ac:dyDescent="0.25">
      <c r="A486">
        <v>1</v>
      </c>
      <c r="B486">
        <v>3</v>
      </c>
      <c r="C486" t="s">
        <v>11</v>
      </c>
      <c r="D486" t="s">
        <v>15</v>
      </c>
      <c r="E486" t="s">
        <v>42</v>
      </c>
      <c r="F486">
        <v>3515</v>
      </c>
      <c r="G486">
        <f>+YEAR(Tabla__192.168.1.8_POSEIDONSQL_APPFVT_01_SQLFacturasRendidas[[#This Row],[f_facturacion]])</f>
        <v>2018</v>
      </c>
      <c r="H48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86">
        <f>+IF(Tabla__192.168.1.8_POSEIDONSQL_APPFVT_01_SQLFacturasRendidas[[#This Row],[epc_nombre]]="RENDIDA",1,0)</f>
        <v>1</v>
      </c>
      <c r="J486">
        <f>+IF(Tabla__192.168.1.8_POSEIDONSQL_APPFVT_01_SQLFacturasRendidas[[#This Row],[usu_codigo]]="","",1)</f>
        <v>1</v>
      </c>
    </row>
    <row r="487" spans="1:10" x14ac:dyDescent="0.25">
      <c r="A487">
        <v>1</v>
      </c>
      <c r="B487">
        <v>3</v>
      </c>
      <c r="C487" t="s">
        <v>11</v>
      </c>
      <c r="D487" t="s">
        <v>15</v>
      </c>
      <c r="E487" t="s">
        <v>42</v>
      </c>
      <c r="F487">
        <v>3516</v>
      </c>
      <c r="G487">
        <f>+YEAR(Tabla__192.168.1.8_POSEIDONSQL_APPFVT_01_SQLFacturasRendidas[[#This Row],[f_facturacion]])</f>
        <v>2018</v>
      </c>
      <c r="H48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87">
        <f>+IF(Tabla__192.168.1.8_POSEIDONSQL_APPFVT_01_SQLFacturasRendidas[[#This Row],[epc_nombre]]="RENDIDA",1,0)</f>
        <v>1</v>
      </c>
      <c r="J487">
        <f>+IF(Tabla__192.168.1.8_POSEIDONSQL_APPFVT_01_SQLFacturasRendidas[[#This Row],[usu_codigo]]="","",1)</f>
        <v>1</v>
      </c>
    </row>
    <row r="488" spans="1:10" x14ac:dyDescent="0.25">
      <c r="A488">
        <v>1</v>
      </c>
      <c r="B488">
        <v>3</v>
      </c>
      <c r="C488" t="s">
        <v>11</v>
      </c>
      <c r="D488" t="s">
        <v>15</v>
      </c>
      <c r="E488" t="s">
        <v>42</v>
      </c>
      <c r="F488">
        <v>3517</v>
      </c>
      <c r="G488">
        <f>+YEAR(Tabla__192.168.1.8_POSEIDONSQL_APPFVT_01_SQLFacturasRendidas[[#This Row],[f_facturacion]])</f>
        <v>2018</v>
      </c>
      <c r="H48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88">
        <f>+IF(Tabla__192.168.1.8_POSEIDONSQL_APPFVT_01_SQLFacturasRendidas[[#This Row],[epc_nombre]]="RENDIDA",1,0)</f>
        <v>1</v>
      </c>
      <c r="J488">
        <f>+IF(Tabla__192.168.1.8_POSEIDONSQL_APPFVT_01_SQLFacturasRendidas[[#This Row],[usu_codigo]]="","",1)</f>
        <v>1</v>
      </c>
    </row>
    <row r="489" spans="1:10" x14ac:dyDescent="0.25">
      <c r="A489">
        <v>1</v>
      </c>
      <c r="B489">
        <v>3</v>
      </c>
      <c r="C489" t="s">
        <v>11</v>
      </c>
      <c r="D489" t="s">
        <v>15</v>
      </c>
      <c r="E489" t="s">
        <v>42</v>
      </c>
      <c r="F489">
        <v>3518</v>
      </c>
      <c r="G489">
        <f>+YEAR(Tabla__192.168.1.8_POSEIDONSQL_APPFVT_01_SQLFacturasRendidas[[#This Row],[f_facturacion]])</f>
        <v>2018</v>
      </c>
      <c r="H48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89">
        <f>+IF(Tabla__192.168.1.8_POSEIDONSQL_APPFVT_01_SQLFacturasRendidas[[#This Row],[epc_nombre]]="RENDIDA",1,0)</f>
        <v>1</v>
      </c>
      <c r="J489">
        <f>+IF(Tabla__192.168.1.8_POSEIDONSQL_APPFVT_01_SQLFacturasRendidas[[#This Row],[usu_codigo]]="","",1)</f>
        <v>1</v>
      </c>
    </row>
    <row r="490" spans="1:10" x14ac:dyDescent="0.25">
      <c r="A490">
        <v>1</v>
      </c>
      <c r="B490">
        <v>3</v>
      </c>
      <c r="C490" t="s">
        <v>11</v>
      </c>
      <c r="D490" t="s">
        <v>15</v>
      </c>
      <c r="E490" t="s">
        <v>42</v>
      </c>
      <c r="F490">
        <v>3519</v>
      </c>
      <c r="G490">
        <f>+YEAR(Tabla__192.168.1.8_POSEIDONSQL_APPFVT_01_SQLFacturasRendidas[[#This Row],[f_facturacion]])</f>
        <v>2018</v>
      </c>
      <c r="H49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90">
        <f>+IF(Tabla__192.168.1.8_POSEIDONSQL_APPFVT_01_SQLFacturasRendidas[[#This Row],[epc_nombre]]="RENDIDA",1,0)</f>
        <v>1</v>
      </c>
      <c r="J490">
        <f>+IF(Tabla__192.168.1.8_POSEIDONSQL_APPFVT_01_SQLFacturasRendidas[[#This Row],[usu_codigo]]="","",1)</f>
        <v>1</v>
      </c>
    </row>
    <row r="491" spans="1:10" x14ac:dyDescent="0.25">
      <c r="A491">
        <v>1</v>
      </c>
      <c r="B491">
        <v>3</v>
      </c>
      <c r="C491" t="s">
        <v>11</v>
      </c>
      <c r="D491" t="s">
        <v>15</v>
      </c>
      <c r="E491" t="s">
        <v>42</v>
      </c>
      <c r="F491">
        <v>3520</v>
      </c>
      <c r="G491">
        <f>+YEAR(Tabla__192.168.1.8_POSEIDONSQL_APPFVT_01_SQLFacturasRendidas[[#This Row],[f_facturacion]])</f>
        <v>2018</v>
      </c>
      <c r="H49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91">
        <f>+IF(Tabla__192.168.1.8_POSEIDONSQL_APPFVT_01_SQLFacturasRendidas[[#This Row],[epc_nombre]]="RENDIDA",1,0)</f>
        <v>1</v>
      </c>
      <c r="J491">
        <f>+IF(Tabla__192.168.1.8_POSEIDONSQL_APPFVT_01_SQLFacturasRendidas[[#This Row],[usu_codigo]]="","",1)</f>
        <v>1</v>
      </c>
    </row>
    <row r="492" spans="1:10" x14ac:dyDescent="0.25">
      <c r="A492">
        <v>1</v>
      </c>
      <c r="B492">
        <v>3</v>
      </c>
      <c r="C492" t="s">
        <v>11</v>
      </c>
      <c r="D492" t="s">
        <v>15</v>
      </c>
      <c r="E492" t="s">
        <v>42</v>
      </c>
      <c r="F492">
        <v>3521</v>
      </c>
      <c r="G492">
        <f>+YEAR(Tabla__192.168.1.8_POSEIDONSQL_APPFVT_01_SQLFacturasRendidas[[#This Row],[f_facturacion]])</f>
        <v>2018</v>
      </c>
      <c r="H49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92">
        <f>+IF(Tabla__192.168.1.8_POSEIDONSQL_APPFVT_01_SQLFacturasRendidas[[#This Row],[epc_nombre]]="RENDIDA",1,0)</f>
        <v>1</v>
      </c>
      <c r="J492">
        <f>+IF(Tabla__192.168.1.8_POSEIDONSQL_APPFVT_01_SQLFacturasRendidas[[#This Row],[usu_codigo]]="","",1)</f>
        <v>1</v>
      </c>
    </row>
    <row r="493" spans="1:10" x14ac:dyDescent="0.25">
      <c r="A493">
        <v>1</v>
      </c>
      <c r="B493">
        <v>3</v>
      </c>
      <c r="C493" t="s">
        <v>11</v>
      </c>
      <c r="D493" t="s">
        <v>15</v>
      </c>
      <c r="E493" t="s">
        <v>44</v>
      </c>
      <c r="F493">
        <v>3523</v>
      </c>
      <c r="G493">
        <f>+YEAR(Tabla__192.168.1.8_POSEIDONSQL_APPFVT_01_SQLFacturasRendidas[[#This Row],[f_facturacion]])</f>
        <v>2018</v>
      </c>
      <c r="H49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93">
        <f>+IF(Tabla__192.168.1.8_POSEIDONSQL_APPFVT_01_SQLFacturasRendidas[[#This Row],[epc_nombre]]="RENDIDA",1,0)</f>
        <v>1</v>
      </c>
      <c r="J493">
        <f>+IF(Tabla__192.168.1.8_POSEIDONSQL_APPFVT_01_SQLFacturasRendidas[[#This Row],[usu_codigo]]="","",1)</f>
        <v>1</v>
      </c>
    </row>
    <row r="494" spans="1:10" x14ac:dyDescent="0.25">
      <c r="A494">
        <v>1</v>
      </c>
      <c r="B494">
        <v>3</v>
      </c>
      <c r="C494" t="s">
        <v>11</v>
      </c>
      <c r="D494" t="s">
        <v>15</v>
      </c>
      <c r="E494" t="s">
        <v>44</v>
      </c>
      <c r="F494">
        <v>3524</v>
      </c>
      <c r="G494">
        <f>+YEAR(Tabla__192.168.1.8_POSEIDONSQL_APPFVT_01_SQLFacturasRendidas[[#This Row],[f_facturacion]])</f>
        <v>2018</v>
      </c>
      <c r="H49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94">
        <f>+IF(Tabla__192.168.1.8_POSEIDONSQL_APPFVT_01_SQLFacturasRendidas[[#This Row],[epc_nombre]]="RENDIDA",1,0)</f>
        <v>1</v>
      </c>
      <c r="J494">
        <f>+IF(Tabla__192.168.1.8_POSEIDONSQL_APPFVT_01_SQLFacturasRendidas[[#This Row],[usu_codigo]]="","",1)</f>
        <v>1</v>
      </c>
    </row>
    <row r="495" spans="1:10" x14ac:dyDescent="0.25">
      <c r="A495">
        <v>1</v>
      </c>
      <c r="B495">
        <v>3</v>
      </c>
      <c r="C495" t="s">
        <v>11</v>
      </c>
      <c r="D495" t="s">
        <v>15</v>
      </c>
      <c r="E495" t="s">
        <v>44</v>
      </c>
      <c r="F495">
        <v>3525</v>
      </c>
      <c r="G495">
        <f>+YEAR(Tabla__192.168.1.8_POSEIDONSQL_APPFVT_01_SQLFacturasRendidas[[#This Row],[f_facturacion]])</f>
        <v>2018</v>
      </c>
      <c r="H49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95">
        <f>+IF(Tabla__192.168.1.8_POSEIDONSQL_APPFVT_01_SQLFacturasRendidas[[#This Row],[epc_nombre]]="RENDIDA",1,0)</f>
        <v>1</v>
      </c>
      <c r="J495">
        <f>+IF(Tabla__192.168.1.8_POSEIDONSQL_APPFVT_01_SQLFacturasRendidas[[#This Row],[usu_codigo]]="","",1)</f>
        <v>1</v>
      </c>
    </row>
    <row r="496" spans="1:10" x14ac:dyDescent="0.25">
      <c r="A496">
        <v>1</v>
      </c>
      <c r="B496">
        <v>3</v>
      </c>
      <c r="C496" t="s">
        <v>11</v>
      </c>
      <c r="D496" t="s">
        <v>15</v>
      </c>
      <c r="E496" t="s">
        <v>44</v>
      </c>
      <c r="F496">
        <v>3526</v>
      </c>
      <c r="G496">
        <f>+YEAR(Tabla__192.168.1.8_POSEIDONSQL_APPFVT_01_SQLFacturasRendidas[[#This Row],[f_facturacion]])</f>
        <v>2018</v>
      </c>
      <c r="H49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96">
        <f>+IF(Tabla__192.168.1.8_POSEIDONSQL_APPFVT_01_SQLFacturasRendidas[[#This Row],[epc_nombre]]="RENDIDA",1,0)</f>
        <v>1</v>
      </c>
      <c r="J496">
        <f>+IF(Tabla__192.168.1.8_POSEIDONSQL_APPFVT_01_SQLFacturasRendidas[[#This Row],[usu_codigo]]="","",1)</f>
        <v>1</v>
      </c>
    </row>
    <row r="497" spans="1:10" x14ac:dyDescent="0.25">
      <c r="A497">
        <v>1</v>
      </c>
      <c r="B497">
        <v>3</v>
      </c>
      <c r="C497" t="s">
        <v>11</v>
      </c>
      <c r="D497" t="s">
        <v>15</v>
      </c>
      <c r="E497" t="s">
        <v>44</v>
      </c>
      <c r="F497">
        <v>3527</v>
      </c>
      <c r="G497">
        <f>+YEAR(Tabla__192.168.1.8_POSEIDONSQL_APPFVT_01_SQLFacturasRendidas[[#This Row],[f_facturacion]])</f>
        <v>2018</v>
      </c>
      <c r="H49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497">
        <f>+IF(Tabla__192.168.1.8_POSEIDONSQL_APPFVT_01_SQLFacturasRendidas[[#This Row],[epc_nombre]]="RENDIDA",1,0)</f>
        <v>1</v>
      </c>
      <c r="J497">
        <f>+IF(Tabla__192.168.1.8_POSEIDONSQL_APPFVT_01_SQLFacturasRendidas[[#This Row],[usu_codigo]]="","",1)</f>
        <v>1</v>
      </c>
    </row>
    <row r="498" spans="1:10" x14ac:dyDescent="0.25">
      <c r="A498">
        <v>1</v>
      </c>
      <c r="B498">
        <v>3</v>
      </c>
      <c r="C498" t="s">
        <v>11</v>
      </c>
      <c r="D498" t="s">
        <v>15</v>
      </c>
      <c r="E498" t="s">
        <v>22</v>
      </c>
      <c r="F498">
        <v>3579</v>
      </c>
      <c r="G498">
        <f>+YEAR(Tabla__192.168.1.8_POSEIDONSQL_APPFVT_01_SQLFacturasRendidas[[#This Row],[f_facturacion]])</f>
        <v>2018</v>
      </c>
      <c r="H49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498">
        <f>+IF(Tabla__192.168.1.8_POSEIDONSQL_APPFVT_01_SQLFacturasRendidas[[#This Row],[epc_nombre]]="RENDIDA",1,0)</f>
        <v>1</v>
      </c>
      <c r="J498">
        <f>+IF(Tabla__192.168.1.8_POSEIDONSQL_APPFVT_01_SQLFacturasRendidas[[#This Row],[usu_codigo]]="","",1)</f>
        <v>1</v>
      </c>
    </row>
    <row r="499" spans="1:10" x14ac:dyDescent="0.25">
      <c r="A499">
        <v>1</v>
      </c>
      <c r="B499">
        <v>3</v>
      </c>
      <c r="C499" t="s">
        <v>11</v>
      </c>
      <c r="D499" t="s">
        <v>15</v>
      </c>
      <c r="E499" t="s">
        <v>22</v>
      </c>
      <c r="F499">
        <v>3580</v>
      </c>
      <c r="G499">
        <f>+YEAR(Tabla__192.168.1.8_POSEIDONSQL_APPFVT_01_SQLFacturasRendidas[[#This Row],[f_facturacion]])</f>
        <v>2018</v>
      </c>
      <c r="H49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499">
        <f>+IF(Tabla__192.168.1.8_POSEIDONSQL_APPFVT_01_SQLFacturasRendidas[[#This Row],[epc_nombre]]="RENDIDA",1,0)</f>
        <v>1</v>
      </c>
      <c r="J499">
        <f>+IF(Tabla__192.168.1.8_POSEIDONSQL_APPFVT_01_SQLFacturasRendidas[[#This Row],[usu_codigo]]="","",1)</f>
        <v>1</v>
      </c>
    </row>
    <row r="500" spans="1:10" x14ac:dyDescent="0.25">
      <c r="A500">
        <v>1</v>
      </c>
      <c r="B500">
        <v>3</v>
      </c>
      <c r="C500" t="s">
        <v>11</v>
      </c>
      <c r="D500" t="s">
        <v>15</v>
      </c>
      <c r="E500" t="s">
        <v>22</v>
      </c>
      <c r="F500">
        <v>3581</v>
      </c>
      <c r="G500">
        <f>+YEAR(Tabla__192.168.1.8_POSEIDONSQL_APPFVT_01_SQLFacturasRendidas[[#This Row],[f_facturacion]])</f>
        <v>2018</v>
      </c>
      <c r="H50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00">
        <f>+IF(Tabla__192.168.1.8_POSEIDONSQL_APPFVT_01_SQLFacturasRendidas[[#This Row],[epc_nombre]]="RENDIDA",1,0)</f>
        <v>1</v>
      </c>
      <c r="J500">
        <f>+IF(Tabla__192.168.1.8_POSEIDONSQL_APPFVT_01_SQLFacturasRendidas[[#This Row],[usu_codigo]]="","",1)</f>
        <v>1</v>
      </c>
    </row>
    <row r="501" spans="1:10" x14ac:dyDescent="0.25">
      <c r="A501">
        <v>1</v>
      </c>
      <c r="B501">
        <v>3</v>
      </c>
      <c r="C501" t="s">
        <v>11</v>
      </c>
      <c r="D501" t="s">
        <v>15</v>
      </c>
      <c r="E501" t="s">
        <v>22</v>
      </c>
      <c r="F501">
        <v>3582</v>
      </c>
      <c r="G501">
        <f>+YEAR(Tabla__192.168.1.8_POSEIDONSQL_APPFVT_01_SQLFacturasRendidas[[#This Row],[f_facturacion]])</f>
        <v>2018</v>
      </c>
      <c r="H50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01">
        <f>+IF(Tabla__192.168.1.8_POSEIDONSQL_APPFVT_01_SQLFacturasRendidas[[#This Row],[epc_nombre]]="RENDIDA",1,0)</f>
        <v>1</v>
      </c>
      <c r="J501">
        <f>+IF(Tabla__192.168.1.8_POSEIDONSQL_APPFVT_01_SQLFacturasRendidas[[#This Row],[usu_codigo]]="","",1)</f>
        <v>1</v>
      </c>
    </row>
    <row r="502" spans="1:10" x14ac:dyDescent="0.25">
      <c r="A502">
        <v>1</v>
      </c>
      <c r="B502">
        <v>3</v>
      </c>
      <c r="C502" t="s">
        <v>11</v>
      </c>
      <c r="D502" t="s">
        <v>15</v>
      </c>
      <c r="E502" t="s">
        <v>22</v>
      </c>
      <c r="F502">
        <v>3583</v>
      </c>
      <c r="G502">
        <f>+YEAR(Tabla__192.168.1.8_POSEIDONSQL_APPFVT_01_SQLFacturasRendidas[[#This Row],[f_facturacion]])</f>
        <v>2018</v>
      </c>
      <c r="H50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02">
        <f>+IF(Tabla__192.168.1.8_POSEIDONSQL_APPFVT_01_SQLFacturasRendidas[[#This Row],[epc_nombre]]="RENDIDA",1,0)</f>
        <v>1</v>
      </c>
      <c r="J502">
        <f>+IF(Tabla__192.168.1.8_POSEIDONSQL_APPFVT_01_SQLFacturasRendidas[[#This Row],[usu_codigo]]="","",1)</f>
        <v>1</v>
      </c>
    </row>
    <row r="503" spans="1:10" x14ac:dyDescent="0.25">
      <c r="A503">
        <v>1</v>
      </c>
      <c r="B503">
        <v>3</v>
      </c>
      <c r="C503" t="s">
        <v>11</v>
      </c>
      <c r="D503" t="s">
        <v>15</v>
      </c>
      <c r="E503" t="s">
        <v>22</v>
      </c>
      <c r="F503">
        <v>3584</v>
      </c>
      <c r="G503">
        <f>+YEAR(Tabla__192.168.1.8_POSEIDONSQL_APPFVT_01_SQLFacturasRendidas[[#This Row],[f_facturacion]])</f>
        <v>2018</v>
      </c>
      <c r="H50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03">
        <f>+IF(Tabla__192.168.1.8_POSEIDONSQL_APPFVT_01_SQLFacturasRendidas[[#This Row],[epc_nombre]]="RENDIDA",1,0)</f>
        <v>1</v>
      </c>
      <c r="J503">
        <f>+IF(Tabla__192.168.1.8_POSEIDONSQL_APPFVT_01_SQLFacturasRendidas[[#This Row],[usu_codigo]]="","",1)</f>
        <v>1</v>
      </c>
    </row>
    <row r="504" spans="1:10" x14ac:dyDescent="0.25">
      <c r="A504">
        <v>1</v>
      </c>
      <c r="B504">
        <v>3</v>
      </c>
      <c r="C504" t="s">
        <v>11</v>
      </c>
      <c r="D504" t="s">
        <v>15</v>
      </c>
      <c r="E504" t="s">
        <v>22</v>
      </c>
      <c r="F504">
        <v>3585</v>
      </c>
      <c r="G504">
        <f>+YEAR(Tabla__192.168.1.8_POSEIDONSQL_APPFVT_01_SQLFacturasRendidas[[#This Row],[f_facturacion]])</f>
        <v>2018</v>
      </c>
      <c r="H50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04">
        <f>+IF(Tabla__192.168.1.8_POSEIDONSQL_APPFVT_01_SQLFacturasRendidas[[#This Row],[epc_nombre]]="RENDIDA",1,0)</f>
        <v>1</v>
      </c>
      <c r="J504">
        <f>+IF(Tabla__192.168.1.8_POSEIDONSQL_APPFVT_01_SQLFacturasRendidas[[#This Row],[usu_codigo]]="","",1)</f>
        <v>1</v>
      </c>
    </row>
    <row r="505" spans="1:10" x14ac:dyDescent="0.25">
      <c r="A505">
        <v>1</v>
      </c>
      <c r="B505">
        <v>3</v>
      </c>
      <c r="C505" t="s">
        <v>11</v>
      </c>
      <c r="D505" t="s">
        <v>15</v>
      </c>
      <c r="E505" t="s">
        <v>22</v>
      </c>
      <c r="F505">
        <v>3586</v>
      </c>
      <c r="G505">
        <f>+YEAR(Tabla__192.168.1.8_POSEIDONSQL_APPFVT_01_SQLFacturasRendidas[[#This Row],[f_facturacion]])</f>
        <v>2018</v>
      </c>
      <c r="H50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05">
        <f>+IF(Tabla__192.168.1.8_POSEIDONSQL_APPFVT_01_SQLFacturasRendidas[[#This Row],[epc_nombre]]="RENDIDA",1,0)</f>
        <v>1</v>
      </c>
      <c r="J505">
        <f>+IF(Tabla__192.168.1.8_POSEIDONSQL_APPFVT_01_SQLFacturasRendidas[[#This Row],[usu_codigo]]="","",1)</f>
        <v>1</v>
      </c>
    </row>
    <row r="506" spans="1:10" x14ac:dyDescent="0.25">
      <c r="A506">
        <v>1</v>
      </c>
      <c r="B506">
        <v>3</v>
      </c>
      <c r="C506" t="s">
        <v>11</v>
      </c>
      <c r="D506" t="s">
        <v>15</v>
      </c>
      <c r="E506" t="s">
        <v>22</v>
      </c>
      <c r="F506">
        <v>3587</v>
      </c>
      <c r="G506">
        <f>+YEAR(Tabla__192.168.1.8_POSEIDONSQL_APPFVT_01_SQLFacturasRendidas[[#This Row],[f_facturacion]])</f>
        <v>2018</v>
      </c>
      <c r="H50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06">
        <f>+IF(Tabla__192.168.1.8_POSEIDONSQL_APPFVT_01_SQLFacturasRendidas[[#This Row],[epc_nombre]]="RENDIDA",1,0)</f>
        <v>1</v>
      </c>
      <c r="J506">
        <f>+IF(Tabla__192.168.1.8_POSEIDONSQL_APPFVT_01_SQLFacturasRendidas[[#This Row],[usu_codigo]]="","",1)</f>
        <v>1</v>
      </c>
    </row>
    <row r="507" spans="1:10" x14ac:dyDescent="0.25">
      <c r="A507">
        <v>1</v>
      </c>
      <c r="B507">
        <v>3</v>
      </c>
      <c r="C507" t="s">
        <v>11</v>
      </c>
      <c r="D507" t="s">
        <v>15</v>
      </c>
      <c r="E507" t="s">
        <v>22</v>
      </c>
      <c r="F507">
        <v>3588</v>
      </c>
      <c r="G507">
        <f>+YEAR(Tabla__192.168.1.8_POSEIDONSQL_APPFVT_01_SQLFacturasRendidas[[#This Row],[f_facturacion]])</f>
        <v>2018</v>
      </c>
      <c r="H50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07">
        <f>+IF(Tabla__192.168.1.8_POSEIDONSQL_APPFVT_01_SQLFacturasRendidas[[#This Row],[epc_nombre]]="RENDIDA",1,0)</f>
        <v>1</v>
      </c>
      <c r="J507">
        <f>+IF(Tabla__192.168.1.8_POSEIDONSQL_APPFVT_01_SQLFacturasRendidas[[#This Row],[usu_codigo]]="","",1)</f>
        <v>1</v>
      </c>
    </row>
    <row r="508" spans="1:10" x14ac:dyDescent="0.25">
      <c r="A508">
        <v>1</v>
      </c>
      <c r="B508">
        <v>3</v>
      </c>
      <c r="C508" t="s">
        <v>11</v>
      </c>
      <c r="D508" t="s">
        <v>15</v>
      </c>
      <c r="E508" t="s">
        <v>22</v>
      </c>
      <c r="F508">
        <v>3589</v>
      </c>
      <c r="G508">
        <f>+YEAR(Tabla__192.168.1.8_POSEIDONSQL_APPFVT_01_SQLFacturasRendidas[[#This Row],[f_facturacion]])</f>
        <v>2018</v>
      </c>
      <c r="H50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08">
        <f>+IF(Tabla__192.168.1.8_POSEIDONSQL_APPFVT_01_SQLFacturasRendidas[[#This Row],[epc_nombre]]="RENDIDA",1,0)</f>
        <v>1</v>
      </c>
      <c r="J508">
        <f>+IF(Tabla__192.168.1.8_POSEIDONSQL_APPFVT_01_SQLFacturasRendidas[[#This Row],[usu_codigo]]="","",1)</f>
        <v>1</v>
      </c>
    </row>
    <row r="509" spans="1:10" x14ac:dyDescent="0.25">
      <c r="A509">
        <v>1</v>
      </c>
      <c r="B509">
        <v>3</v>
      </c>
      <c r="C509" t="s">
        <v>11</v>
      </c>
      <c r="D509" t="s">
        <v>15</v>
      </c>
      <c r="E509" t="s">
        <v>22</v>
      </c>
      <c r="F509">
        <v>3590</v>
      </c>
      <c r="G509">
        <f>+YEAR(Tabla__192.168.1.8_POSEIDONSQL_APPFVT_01_SQLFacturasRendidas[[#This Row],[f_facturacion]])</f>
        <v>2018</v>
      </c>
      <c r="H50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09">
        <f>+IF(Tabla__192.168.1.8_POSEIDONSQL_APPFVT_01_SQLFacturasRendidas[[#This Row],[epc_nombre]]="RENDIDA",1,0)</f>
        <v>1</v>
      </c>
      <c r="J509">
        <f>+IF(Tabla__192.168.1.8_POSEIDONSQL_APPFVT_01_SQLFacturasRendidas[[#This Row],[usu_codigo]]="","",1)</f>
        <v>1</v>
      </c>
    </row>
    <row r="510" spans="1:10" x14ac:dyDescent="0.25">
      <c r="A510">
        <v>1</v>
      </c>
      <c r="B510">
        <v>3</v>
      </c>
      <c r="C510" t="s">
        <v>11</v>
      </c>
      <c r="D510" t="s">
        <v>15</v>
      </c>
      <c r="E510" t="s">
        <v>22</v>
      </c>
      <c r="F510">
        <v>3591</v>
      </c>
      <c r="G510">
        <f>+YEAR(Tabla__192.168.1.8_POSEIDONSQL_APPFVT_01_SQLFacturasRendidas[[#This Row],[f_facturacion]])</f>
        <v>2018</v>
      </c>
      <c r="H51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10">
        <f>+IF(Tabla__192.168.1.8_POSEIDONSQL_APPFVT_01_SQLFacturasRendidas[[#This Row],[epc_nombre]]="RENDIDA",1,0)</f>
        <v>1</v>
      </c>
      <c r="J510">
        <f>+IF(Tabla__192.168.1.8_POSEIDONSQL_APPFVT_01_SQLFacturasRendidas[[#This Row],[usu_codigo]]="","",1)</f>
        <v>1</v>
      </c>
    </row>
    <row r="511" spans="1:10" x14ac:dyDescent="0.25">
      <c r="A511">
        <v>1</v>
      </c>
      <c r="B511">
        <v>3</v>
      </c>
      <c r="C511" t="s">
        <v>11</v>
      </c>
      <c r="D511" t="s">
        <v>15</v>
      </c>
      <c r="E511" t="s">
        <v>22</v>
      </c>
      <c r="F511">
        <v>3592</v>
      </c>
      <c r="G511">
        <f>+YEAR(Tabla__192.168.1.8_POSEIDONSQL_APPFVT_01_SQLFacturasRendidas[[#This Row],[f_facturacion]])</f>
        <v>2018</v>
      </c>
      <c r="H51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11">
        <f>+IF(Tabla__192.168.1.8_POSEIDONSQL_APPFVT_01_SQLFacturasRendidas[[#This Row],[epc_nombre]]="RENDIDA",1,0)</f>
        <v>1</v>
      </c>
      <c r="J511">
        <f>+IF(Tabla__192.168.1.8_POSEIDONSQL_APPFVT_01_SQLFacturasRendidas[[#This Row],[usu_codigo]]="","",1)</f>
        <v>1</v>
      </c>
    </row>
    <row r="512" spans="1:10" x14ac:dyDescent="0.25">
      <c r="A512">
        <v>1</v>
      </c>
      <c r="B512">
        <v>3</v>
      </c>
      <c r="C512" t="s">
        <v>11</v>
      </c>
      <c r="D512" t="s">
        <v>15</v>
      </c>
      <c r="E512" t="s">
        <v>22</v>
      </c>
      <c r="F512">
        <v>3595</v>
      </c>
      <c r="G512">
        <f>+YEAR(Tabla__192.168.1.8_POSEIDONSQL_APPFVT_01_SQLFacturasRendidas[[#This Row],[f_facturacion]])</f>
        <v>2018</v>
      </c>
      <c r="H51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12">
        <f>+IF(Tabla__192.168.1.8_POSEIDONSQL_APPFVT_01_SQLFacturasRendidas[[#This Row],[epc_nombre]]="RENDIDA",1,0)</f>
        <v>1</v>
      </c>
      <c r="J512">
        <f>+IF(Tabla__192.168.1.8_POSEIDONSQL_APPFVT_01_SQLFacturasRendidas[[#This Row],[usu_codigo]]="","",1)</f>
        <v>1</v>
      </c>
    </row>
    <row r="513" spans="1:10" x14ac:dyDescent="0.25">
      <c r="A513">
        <v>1</v>
      </c>
      <c r="B513">
        <v>3</v>
      </c>
      <c r="C513" t="s">
        <v>11</v>
      </c>
      <c r="D513" t="s">
        <v>15</v>
      </c>
      <c r="E513" t="s">
        <v>22</v>
      </c>
      <c r="F513">
        <v>3596</v>
      </c>
      <c r="G513">
        <f>+YEAR(Tabla__192.168.1.8_POSEIDONSQL_APPFVT_01_SQLFacturasRendidas[[#This Row],[f_facturacion]])</f>
        <v>2018</v>
      </c>
      <c r="H51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13">
        <f>+IF(Tabla__192.168.1.8_POSEIDONSQL_APPFVT_01_SQLFacturasRendidas[[#This Row],[epc_nombre]]="RENDIDA",1,0)</f>
        <v>1</v>
      </c>
      <c r="J513">
        <f>+IF(Tabla__192.168.1.8_POSEIDONSQL_APPFVT_01_SQLFacturasRendidas[[#This Row],[usu_codigo]]="","",1)</f>
        <v>1</v>
      </c>
    </row>
    <row r="514" spans="1:10" x14ac:dyDescent="0.25">
      <c r="A514">
        <v>1</v>
      </c>
      <c r="B514">
        <v>3</v>
      </c>
      <c r="C514" t="s">
        <v>11</v>
      </c>
      <c r="D514" t="s">
        <v>15</v>
      </c>
      <c r="E514" t="s">
        <v>26</v>
      </c>
      <c r="F514">
        <v>3599</v>
      </c>
      <c r="G514">
        <f>+YEAR(Tabla__192.168.1.8_POSEIDONSQL_APPFVT_01_SQLFacturasRendidas[[#This Row],[f_facturacion]])</f>
        <v>2018</v>
      </c>
      <c r="H51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14">
        <f>+IF(Tabla__192.168.1.8_POSEIDONSQL_APPFVT_01_SQLFacturasRendidas[[#This Row],[epc_nombre]]="RENDIDA",1,0)</f>
        <v>1</v>
      </c>
      <c r="J514">
        <f>+IF(Tabla__192.168.1.8_POSEIDONSQL_APPFVT_01_SQLFacturasRendidas[[#This Row],[usu_codigo]]="","",1)</f>
        <v>1</v>
      </c>
    </row>
    <row r="515" spans="1:10" x14ac:dyDescent="0.25">
      <c r="A515">
        <v>1</v>
      </c>
      <c r="B515">
        <v>3</v>
      </c>
      <c r="C515" t="s">
        <v>11</v>
      </c>
      <c r="D515" t="s">
        <v>15</v>
      </c>
      <c r="E515" t="s">
        <v>26</v>
      </c>
      <c r="F515">
        <v>3600</v>
      </c>
      <c r="G515">
        <f>+YEAR(Tabla__192.168.1.8_POSEIDONSQL_APPFVT_01_SQLFacturasRendidas[[#This Row],[f_facturacion]])</f>
        <v>2018</v>
      </c>
      <c r="H51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15">
        <f>+IF(Tabla__192.168.1.8_POSEIDONSQL_APPFVT_01_SQLFacturasRendidas[[#This Row],[epc_nombre]]="RENDIDA",1,0)</f>
        <v>1</v>
      </c>
      <c r="J515">
        <f>+IF(Tabla__192.168.1.8_POSEIDONSQL_APPFVT_01_SQLFacturasRendidas[[#This Row],[usu_codigo]]="","",1)</f>
        <v>1</v>
      </c>
    </row>
    <row r="516" spans="1:10" x14ac:dyDescent="0.25">
      <c r="A516">
        <v>1</v>
      </c>
      <c r="B516">
        <v>3</v>
      </c>
      <c r="C516" t="s">
        <v>11</v>
      </c>
      <c r="D516" t="s">
        <v>15</v>
      </c>
      <c r="E516" t="s">
        <v>26</v>
      </c>
      <c r="F516">
        <v>3601</v>
      </c>
      <c r="G516">
        <f>+YEAR(Tabla__192.168.1.8_POSEIDONSQL_APPFVT_01_SQLFacturasRendidas[[#This Row],[f_facturacion]])</f>
        <v>2018</v>
      </c>
      <c r="H51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16">
        <f>+IF(Tabla__192.168.1.8_POSEIDONSQL_APPFVT_01_SQLFacturasRendidas[[#This Row],[epc_nombre]]="RENDIDA",1,0)</f>
        <v>1</v>
      </c>
      <c r="J516">
        <f>+IF(Tabla__192.168.1.8_POSEIDONSQL_APPFVT_01_SQLFacturasRendidas[[#This Row],[usu_codigo]]="","",1)</f>
        <v>1</v>
      </c>
    </row>
    <row r="517" spans="1:10" x14ac:dyDescent="0.25">
      <c r="A517">
        <v>1</v>
      </c>
      <c r="B517">
        <v>3</v>
      </c>
      <c r="C517" t="s">
        <v>11</v>
      </c>
      <c r="D517" t="s">
        <v>15</v>
      </c>
      <c r="E517" t="s">
        <v>26</v>
      </c>
      <c r="F517">
        <v>3602</v>
      </c>
      <c r="G517">
        <f>+YEAR(Tabla__192.168.1.8_POSEIDONSQL_APPFVT_01_SQLFacturasRendidas[[#This Row],[f_facturacion]])</f>
        <v>2018</v>
      </c>
      <c r="H51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17">
        <f>+IF(Tabla__192.168.1.8_POSEIDONSQL_APPFVT_01_SQLFacturasRendidas[[#This Row],[epc_nombre]]="RENDIDA",1,0)</f>
        <v>1</v>
      </c>
      <c r="J517">
        <f>+IF(Tabla__192.168.1.8_POSEIDONSQL_APPFVT_01_SQLFacturasRendidas[[#This Row],[usu_codigo]]="","",1)</f>
        <v>1</v>
      </c>
    </row>
    <row r="518" spans="1:10" x14ac:dyDescent="0.25">
      <c r="A518">
        <v>1</v>
      </c>
      <c r="B518">
        <v>3</v>
      </c>
      <c r="C518" t="s">
        <v>11</v>
      </c>
      <c r="D518" t="s">
        <v>15</v>
      </c>
      <c r="E518" t="s">
        <v>26</v>
      </c>
      <c r="F518">
        <v>3603</v>
      </c>
      <c r="G518">
        <f>+YEAR(Tabla__192.168.1.8_POSEIDONSQL_APPFVT_01_SQLFacturasRendidas[[#This Row],[f_facturacion]])</f>
        <v>2018</v>
      </c>
      <c r="H51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18">
        <f>+IF(Tabla__192.168.1.8_POSEIDONSQL_APPFVT_01_SQLFacturasRendidas[[#This Row],[epc_nombre]]="RENDIDA",1,0)</f>
        <v>1</v>
      </c>
      <c r="J518">
        <f>+IF(Tabla__192.168.1.8_POSEIDONSQL_APPFVT_01_SQLFacturasRendidas[[#This Row],[usu_codigo]]="","",1)</f>
        <v>1</v>
      </c>
    </row>
    <row r="519" spans="1:10" x14ac:dyDescent="0.25">
      <c r="A519">
        <v>1</v>
      </c>
      <c r="B519">
        <v>3</v>
      </c>
      <c r="C519" t="s">
        <v>11</v>
      </c>
      <c r="D519" t="s">
        <v>15</v>
      </c>
      <c r="E519" t="s">
        <v>26</v>
      </c>
      <c r="F519">
        <v>3604</v>
      </c>
      <c r="G519">
        <f>+YEAR(Tabla__192.168.1.8_POSEIDONSQL_APPFVT_01_SQLFacturasRendidas[[#This Row],[f_facturacion]])</f>
        <v>2018</v>
      </c>
      <c r="H51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19">
        <f>+IF(Tabla__192.168.1.8_POSEIDONSQL_APPFVT_01_SQLFacturasRendidas[[#This Row],[epc_nombre]]="RENDIDA",1,0)</f>
        <v>1</v>
      </c>
      <c r="J519">
        <f>+IF(Tabla__192.168.1.8_POSEIDONSQL_APPFVT_01_SQLFacturasRendidas[[#This Row],[usu_codigo]]="","",1)</f>
        <v>1</v>
      </c>
    </row>
    <row r="520" spans="1:10" x14ac:dyDescent="0.25">
      <c r="A520">
        <v>1</v>
      </c>
      <c r="B520">
        <v>3</v>
      </c>
      <c r="C520" t="s">
        <v>11</v>
      </c>
      <c r="D520" t="s">
        <v>15</v>
      </c>
      <c r="E520" t="s">
        <v>26</v>
      </c>
      <c r="F520">
        <v>3605</v>
      </c>
      <c r="G520">
        <f>+YEAR(Tabla__192.168.1.8_POSEIDONSQL_APPFVT_01_SQLFacturasRendidas[[#This Row],[f_facturacion]])</f>
        <v>2018</v>
      </c>
      <c r="H52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20">
        <f>+IF(Tabla__192.168.1.8_POSEIDONSQL_APPFVT_01_SQLFacturasRendidas[[#This Row],[epc_nombre]]="RENDIDA",1,0)</f>
        <v>1</v>
      </c>
      <c r="J520">
        <f>+IF(Tabla__192.168.1.8_POSEIDONSQL_APPFVT_01_SQLFacturasRendidas[[#This Row],[usu_codigo]]="","",1)</f>
        <v>1</v>
      </c>
    </row>
    <row r="521" spans="1:10" x14ac:dyDescent="0.25">
      <c r="A521">
        <v>1</v>
      </c>
      <c r="B521">
        <v>3</v>
      </c>
      <c r="C521" t="s">
        <v>11</v>
      </c>
      <c r="D521" t="s">
        <v>15</v>
      </c>
      <c r="E521" t="s">
        <v>26</v>
      </c>
      <c r="F521">
        <v>3606</v>
      </c>
      <c r="G521">
        <f>+YEAR(Tabla__192.168.1.8_POSEIDONSQL_APPFVT_01_SQLFacturasRendidas[[#This Row],[f_facturacion]])</f>
        <v>2018</v>
      </c>
      <c r="H52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21">
        <f>+IF(Tabla__192.168.1.8_POSEIDONSQL_APPFVT_01_SQLFacturasRendidas[[#This Row],[epc_nombre]]="RENDIDA",1,0)</f>
        <v>1</v>
      </c>
      <c r="J521">
        <f>+IF(Tabla__192.168.1.8_POSEIDONSQL_APPFVT_01_SQLFacturasRendidas[[#This Row],[usu_codigo]]="","",1)</f>
        <v>1</v>
      </c>
    </row>
    <row r="522" spans="1:10" x14ac:dyDescent="0.25">
      <c r="A522">
        <v>1</v>
      </c>
      <c r="B522">
        <v>3</v>
      </c>
      <c r="C522" t="s">
        <v>11</v>
      </c>
      <c r="D522" t="s">
        <v>15</v>
      </c>
      <c r="E522" t="s">
        <v>26</v>
      </c>
      <c r="F522">
        <v>3607</v>
      </c>
      <c r="G522">
        <f>+YEAR(Tabla__192.168.1.8_POSEIDONSQL_APPFVT_01_SQLFacturasRendidas[[#This Row],[f_facturacion]])</f>
        <v>2018</v>
      </c>
      <c r="H52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22">
        <f>+IF(Tabla__192.168.1.8_POSEIDONSQL_APPFVT_01_SQLFacturasRendidas[[#This Row],[epc_nombre]]="RENDIDA",1,0)</f>
        <v>1</v>
      </c>
      <c r="J522">
        <f>+IF(Tabla__192.168.1.8_POSEIDONSQL_APPFVT_01_SQLFacturasRendidas[[#This Row],[usu_codigo]]="","",1)</f>
        <v>1</v>
      </c>
    </row>
    <row r="523" spans="1:10" x14ac:dyDescent="0.25">
      <c r="A523">
        <v>1</v>
      </c>
      <c r="B523">
        <v>3</v>
      </c>
      <c r="C523" t="s">
        <v>11</v>
      </c>
      <c r="D523" t="s">
        <v>15</v>
      </c>
      <c r="E523" t="s">
        <v>26</v>
      </c>
      <c r="F523">
        <v>3608</v>
      </c>
      <c r="G523">
        <f>+YEAR(Tabla__192.168.1.8_POSEIDONSQL_APPFVT_01_SQLFacturasRendidas[[#This Row],[f_facturacion]])</f>
        <v>2018</v>
      </c>
      <c r="H52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23">
        <f>+IF(Tabla__192.168.1.8_POSEIDONSQL_APPFVT_01_SQLFacturasRendidas[[#This Row],[epc_nombre]]="RENDIDA",1,0)</f>
        <v>1</v>
      </c>
      <c r="J523">
        <f>+IF(Tabla__192.168.1.8_POSEIDONSQL_APPFVT_01_SQLFacturasRendidas[[#This Row],[usu_codigo]]="","",1)</f>
        <v>1</v>
      </c>
    </row>
    <row r="524" spans="1:10" x14ac:dyDescent="0.25">
      <c r="A524">
        <v>1</v>
      </c>
      <c r="B524">
        <v>3</v>
      </c>
      <c r="C524" t="s">
        <v>11</v>
      </c>
      <c r="D524" t="s">
        <v>15</v>
      </c>
      <c r="E524" t="s">
        <v>26</v>
      </c>
      <c r="F524">
        <v>3609</v>
      </c>
      <c r="G524">
        <f>+YEAR(Tabla__192.168.1.8_POSEIDONSQL_APPFVT_01_SQLFacturasRendidas[[#This Row],[f_facturacion]])</f>
        <v>2018</v>
      </c>
      <c r="H52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24">
        <f>+IF(Tabla__192.168.1.8_POSEIDONSQL_APPFVT_01_SQLFacturasRendidas[[#This Row],[epc_nombre]]="RENDIDA",1,0)</f>
        <v>1</v>
      </c>
      <c r="J524">
        <f>+IF(Tabla__192.168.1.8_POSEIDONSQL_APPFVT_01_SQLFacturasRendidas[[#This Row],[usu_codigo]]="","",1)</f>
        <v>1</v>
      </c>
    </row>
    <row r="525" spans="1:10" x14ac:dyDescent="0.25">
      <c r="A525">
        <v>1</v>
      </c>
      <c r="B525">
        <v>3</v>
      </c>
      <c r="C525" t="s">
        <v>11</v>
      </c>
      <c r="D525" t="s">
        <v>15</v>
      </c>
      <c r="E525" t="s">
        <v>26</v>
      </c>
      <c r="F525">
        <v>3610</v>
      </c>
      <c r="G525">
        <f>+YEAR(Tabla__192.168.1.8_POSEIDONSQL_APPFVT_01_SQLFacturasRendidas[[#This Row],[f_facturacion]])</f>
        <v>2018</v>
      </c>
      <c r="H52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25">
        <f>+IF(Tabla__192.168.1.8_POSEIDONSQL_APPFVT_01_SQLFacturasRendidas[[#This Row],[epc_nombre]]="RENDIDA",1,0)</f>
        <v>1</v>
      </c>
      <c r="J525">
        <f>+IF(Tabla__192.168.1.8_POSEIDONSQL_APPFVT_01_SQLFacturasRendidas[[#This Row],[usu_codigo]]="","",1)</f>
        <v>1</v>
      </c>
    </row>
    <row r="526" spans="1:10" x14ac:dyDescent="0.25">
      <c r="A526">
        <v>1</v>
      </c>
      <c r="B526">
        <v>3</v>
      </c>
      <c r="C526" t="s">
        <v>11</v>
      </c>
      <c r="D526" t="s">
        <v>15</v>
      </c>
      <c r="E526" t="s">
        <v>26</v>
      </c>
      <c r="F526">
        <v>3611</v>
      </c>
      <c r="G526">
        <f>+YEAR(Tabla__192.168.1.8_POSEIDONSQL_APPFVT_01_SQLFacturasRendidas[[#This Row],[f_facturacion]])</f>
        <v>2018</v>
      </c>
      <c r="H52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26">
        <f>+IF(Tabla__192.168.1.8_POSEIDONSQL_APPFVT_01_SQLFacturasRendidas[[#This Row],[epc_nombre]]="RENDIDA",1,0)</f>
        <v>1</v>
      </c>
      <c r="J526">
        <f>+IF(Tabla__192.168.1.8_POSEIDONSQL_APPFVT_01_SQLFacturasRendidas[[#This Row],[usu_codigo]]="","",1)</f>
        <v>1</v>
      </c>
    </row>
    <row r="527" spans="1:10" x14ac:dyDescent="0.25">
      <c r="A527">
        <v>1</v>
      </c>
      <c r="B527">
        <v>3</v>
      </c>
      <c r="C527" t="s">
        <v>11</v>
      </c>
      <c r="D527" t="s">
        <v>15</v>
      </c>
      <c r="E527" t="s">
        <v>26</v>
      </c>
      <c r="F527">
        <v>3612</v>
      </c>
      <c r="G527">
        <f>+YEAR(Tabla__192.168.1.8_POSEIDONSQL_APPFVT_01_SQLFacturasRendidas[[#This Row],[f_facturacion]])</f>
        <v>2018</v>
      </c>
      <c r="H52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27">
        <f>+IF(Tabla__192.168.1.8_POSEIDONSQL_APPFVT_01_SQLFacturasRendidas[[#This Row],[epc_nombre]]="RENDIDA",1,0)</f>
        <v>1</v>
      </c>
      <c r="J527">
        <f>+IF(Tabla__192.168.1.8_POSEIDONSQL_APPFVT_01_SQLFacturasRendidas[[#This Row],[usu_codigo]]="","",1)</f>
        <v>1</v>
      </c>
    </row>
    <row r="528" spans="1:10" x14ac:dyDescent="0.25">
      <c r="A528">
        <v>1</v>
      </c>
      <c r="B528">
        <v>3</v>
      </c>
      <c r="C528" t="s">
        <v>11</v>
      </c>
      <c r="D528" t="s">
        <v>15</v>
      </c>
      <c r="E528" t="s">
        <v>26</v>
      </c>
      <c r="F528">
        <v>3613</v>
      </c>
      <c r="G528">
        <f>+YEAR(Tabla__192.168.1.8_POSEIDONSQL_APPFVT_01_SQLFacturasRendidas[[#This Row],[f_facturacion]])</f>
        <v>2018</v>
      </c>
      <c r="H52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28">
        <f>+IF(Tabla__192.168.1.8_POSEIDONSQL_APPFVT_01_SQLFacturasRendidas[[#This Row],[epc_nombre]]="RENDIDA",1,0)</f>
        <v>1</v>
      </c>
      <c r="J528">
        <f>+IF(Tabla__192.168.1.8_POSEIDONSQL_APPFVT_01_SQLFacturasRendidas[[#This Row],[usu_codigo]]="","",1)</f>
        <v>1</v>
      </c>
    </row>
    <row r="529" spans="1:10" x14ac:dyDescent="0.25">
      <c r="A529">
        <v>1</v>
      </c>
      <c r="B529">
        <v>3</v>
      </c>
      <c r="C529" t="s">
        <v>11</v>
      </c>
      <c r="D529" t="s">
        <v>15</v>
      </c>
      <c r="E529" t="s">
        <v>26</v>
      </c>
      <c r="F529">
        <v>3614</v>
      </c>
      <c r="G529">
        <f>+YEAR(Tabla__192.168.1.8_POSEIDONSQL_APPFVT_01_SQLFacturasRendidas[[#This Row],[f_facturacion]])</f>
        <v>2018</v>
      </c>
      <c r="H52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29">
        <f>+IF(Tabla__192.168.1.8_POSEIDONSQL_APPFVT_01_SQLFacturasRendidas[[#This Row],[epc_nombre]]="RENDIDA",1,0)</f>
        <v>1</v>
      </c>
      <c r="J529">
        <f>+IF(Tabla__192.168.1.8_POSEIDONSQL_APPFVT_01_SQLFacturasRendidas[[#This Row],[usu_codigo]]="","",1)</f>
        <v>1</v>
      </c>
    </row>
    <row r="530" spans="1:10" x14ac:dyDescent="0.25">
      <c r="A530">
        <v>1</v>
      </c>
      <c r="B530">
        <v>3</v>
      </c>
      <c r="C530" t="s">
        <v>11</v>
      </c>
      <c r="D530" t="s">
        <v>15</v>
      </c>
      <c r="E530" t="s">
        <v>26</v>
      </c>
      <c r="F530">
        <v>3618</v>
      </c>
      <c r="G530">
        <f>+YEAR(Tabla__192.168.1.8_POSEIDONSQL_APPFVT_01_SQLFacturasRendidas[[#This Row],[f_facturacion]])</f>
        <v>2018</v>
      </c>
      <c r="H53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30">
        <f>+IF(Tabla__192.168.1.8_POSEIDONSQL_APPFVT_01_SQLFacturasRendidas[[#This Row],[epc_nombre]]="RENDIDA",1,0)</f>
        <v>1</v>
      </c>
      <c r="J530">
        <f>+IF(Tabla__192.168.1.8_POSEIDONSQL_APPFVT_01_SQLFacturasRendidas[[#This Row],[usu_codigo]]="","",1)</f>
        <v>1</v>
      </c>
    </row>
    <row r="531" spans="1:10" x14ac:dyDescent="0.25">
      <c r="A531">
        <v>1</v>
      </c>
      <c r="B531">
        <v>3</v>
      </c>
      <c r="C531" t="s">
        <v>11</v>
      </c>
      <c r="D531" t="s">
        <v>15</v>
      </c>
      <c r="E531" t="s">
        <v>26</v>
      </c>
      <c r="F531">
        <v>3619</v>
      </c>
      <c r="G531">
        <f>+YEAR(Tabla__192.168.1.8_POSEIDONSQL_APPFVT_01_SQLFacturasRendidas[[#This Row],[f_facturacion]])</f>
        <v>2018</v>
      </c>
      <c r="H53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31">
        <f>+IF(Tabla__192.168.1.8_POSEIDONSQL_APPFVT_01_SQLFacturasRendidas[[#This Row],[epc_nombre]]="RENDIDA",1,0)</f>
        <v>1</v>
      </c>
      <c r="J531">
        <f>+IF(Tabla__192.168.1.8_POSEIDONSQL_APPFVT_01_SQLFacturasRendidas[[#This Row],[usu_codigo]]="","",1)</f>
        <v>1</v>
      </c>
    </row>
    <row r="532" spans="1:10" x14ac:dyDescent="0.25">
      <c r="A532">
        <v>1</v>
      </c>
      <c r="B532">
        <v>3</v>
      </c>
      <c r="C532" t="s">
        <v>11</v>
      </c>
      <c r="D532" t="s">
        <v>15</v>
      </c>
      <c r="E532" t="s">
        <v>26</v>
      </c>
      <c r="F532">
        <v>3620</v>
      </c>
      <c r="G532">
        <f>+YEAR(Tabla__192.168.1.8_POSEIDONSQL_APPFVT_01_SQLFacturasRendidas[[#This Row],[f_facturacion]])</f>
        <v>2018</v>
      </c>
      <c r="H53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32">
        <f>+IF(Tabla__192.168.1.8_POSEIDONSQL_APPFVT_01_SQLFacturasRendidas[[#This Row],[epc_nombre]]="RENDIDA",1,0)</f>
        <v>1</v>
      </c>
      <c r="J532">
        <f>+IF(Tabla__192.168.1.8_POSEIDONSQL_APPFVT_01_SQLFacturasRendidas[[#This Row],[usu_codigo]]="","",1)</f>
        <v>1</v>
      </c>
    </row>
    <row r="533" spans="1:10" x14ac:dyDescent="0.25">
      <c r="A533">
        <v>1</v>
      </c>
      <c r="B533">
        <v>3</v>
      </c>
      <c r="C533" t="s">
        <v>11</v>
      </c>
      <c r="D533" t="s">
        <v>15</v>
      </c>
      <c r="E533" t="s">
        <v>26</v>
      </c>
      <c r="F533">
        <v>3621</v>
      </c>
      <c r="G533">
        <f>+YEAR(Tabla__192.168.1.8_POSEIDONSQL_APPFVT_01_SQLFacturasRendidas[[#This Row],[f_facturacion]])</f>
        <v>2018</v>
      </c>
      <c r="H53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33">
        <f>+IF(Tabla__192.168.1.8_POSEIDONSQL_APPFVT_01_SQLFacturasRendidas[[#This Row],[epc_nombre]]="RENDIDA",1,0)</f>
        <v>1</v>
      </c>
      <c r="J533">
        <f>+IF(Tabla__192.168.1.8_POSEIDONSQL_APPFVT_01_SQLFacturasRendidas[[#This Row],[usu_codigo]]="","",1)</f>
        <v>1</v>
      </c>
    </row>
    <row r="534" spans="1:10" x14ac:dyDescent="0.25">
      <c r="A534">
        <v>1</v>
      </c>
      <c r="B534">
        <v>3</v>
      </c>
      <c r="C534" t="s">
        <v>11</v>
      </c>
      <c r="D534" t="s">
        <v>15</v>
      </c>
      <c r="E534" t="s">
        <v>26</v>
      </c>
      <c r="F534">
        <v>3622</v>
      </c>
      <c r="G534">
        <f>+YEAR(Tabla__192.168.1.8_POSEIDONSQL_APPFVT_01_SQLFacturasRendidas[[#This Row],[f_facturacion]])</f>
        <v>2018</v>
      </c>
      <c r="H53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34">
        <f>+IF(Tabla__192.168.1.8_POSEIDONSQL_APPFVT_01_SQLFacturasRendidas[[#This Row],[epc_nombre]]="RENDIDA",1,0)</f>
        <v>1</v>
      </c>
      <c r="J534">
        <f>+IF(Tabla__192.168.1.8_POSEIDONSQL_APPFVT_01_SQLFacturasRendidas[[#This Row],[usu_codigo]]="","",1)</f>
        <v>1</v>
      </c>
    </row>
    <row r="535" spans="1:10" x14ac:dyDescent="0.25">
      <c r="A535">
        <v>1</v>
      </c>
      <c r="B535">
        <v>3</v>
      </c>
      <c r="C535" t="s">
        <v>11</v>
      </c>
      <c r="D535" t="s">
        <v>15</v>
      </c>
      <c r="E535" t="s">
        <v>26</v>
      </c>
      <c r="F535">
        <v>3623</v>
      </c>
      <c r="G535">
        <f>+YEAR(Tabla__192.168.1.8_POSEIDONSQL_APPFVT_01_SQLFacturasRendidas[[#This Row],[f_facturacion]])</f>
        <v>2018</v>
      </c>
      <c r="H53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35">
        <f>+IF(Tabla__192.168.1.8_POSEIDONSQL_APPFVT_01_SQLFacturasRendidas[[#This Row],[epc_nombre]]="RENDIDA",1,0)</f>
        <v>1</v>
      </c>
      <c r="J535">
        <f>+IF(Tabla__192.168.1.8_POSEIDONSQL_APPFVT_01_SQLFacturasRendidas[[#This Row],[usu_codigo]]="","",1)</f>
        <v>1</v>
      </c>
    </row>
    <row r="536" spans="1:10" x14ac:dyDescent="0.25">
      <c r="A536">
        <v>1</v>
      </c>
      <c r="B536">
        <v>3</v>
      </c>
      <c r="C536" t="s">
        <v>11</v>
      </c>
      <c r="D536" t="s">
        <v>15</v>
      </c>
      <c r="E536" t="s">
        <v>26</v>
      </c>
      <c r="F536">
        <v>3624</v>
      </c>
      <c r="G536">
        <f>+YEAR(Tabla__192.168.1.8_POSEIDONSQL_APPFVT_01_SQLFacturasRendidas[[#This Row],[f_facturacion]])</f>
        <v>2018</v>
      </c>
      <c r="H53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36">
        <f>+IF(Tabla__192.168.1.8_POSEIDONSQL_APPFVT_01_SQLFacturasRendidas[[#This Row],[epc_nombre]]="RENDIDA",1,0)</f>
        <v>1</v>
      </c>
      <c r="J536">
        <f>+IF(Tabla__192.168.1.8_POSEIDONSQL_APPFVT_01_SQLFacturasRendidas[[#This Row],[usu_codigo]]="","",1)</f>
        <v>1</v>
      </c>
    </row>
    <row r="537" spans="1:10" x14ac:dyDescent="0.25">
      <c r="A537">
        <v>1</v>
      </c>
      <c r="B537">
        <v>3</v>
      </c>
      <c r="C537" t="s">
        <v>11</v>
      </c>
      <c r="D537" t="s">
        <v>15</v>
      </c>
      <c r="E537" t="s">
        <v>26</v>
      </c>
      <c r="F537">
        <v>3625</v>
      </c>
      <c r="G537">
        <f>+YEAR(Tabla__192.168.1.8_POSEIDONSQL_APPFVT_01_SQLFacturasRendidas[[#This Row],[f_facturacion]])</f>
        <v>2018</v>
      </c>
      <c r="H53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37">
        <f>+IF(Tabla__192.168.1.8_POSEIDONSQL_APPFVT_01_SQLFacturasRendidas[[#This Row],[epc_nombre]]="RENDIDA",1,0)</f>
        <v>1</v>
      </c>
      <c r="J537">
        <f>+IF(Tabla__192.168.1.8_POSEIDONSQL_APPFVT_01_SQLFacturasRendidas[[#This Row],[usu_codigo]]="","",1)</f>
        <v>1</v>
      </c>
    </row>
    <row r="538" spans="1:10" x14ac:dyDescent="0.25">
      <c r="A538">
        <v>1</v>
      </c>
      <c r="B538">
        <v>3</v>
      </c>
      <c r="C538" t="s">
        <v>11</v>
      </c>
      <c r="D538" t="s">
        <v>15</v>
      </c>
      <c r="E538" t="s">
        <v>26</v>
      </c>
      <c r="F538">
        <v>3626</v>
      </c>
      <c r="G538">
        <f>+YEAR(Tabla__192.168.1.8_POSEIDONSQL_APPFVT_01_SQLFacturasRendidas[[#This Row],[f_facturacion]])</f>
        <v>2018</v>
      </c>
      <c r="H53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38">
        <f>+IF(Tabla__192.168.1.8_POSEIDONSQL_APPFVT_01_SQLFacturasRendidas[[#This Row],[epc_nombre]]="RENDIDA",1,0)</f>
        <v>1</v>
      </c>
      <c r="J538">
        <f>+IF(Tabla__192.168.1.8_POSEIDONSQL_APPFVT_01_SQLFacturasRendidas[[#This Row],[usu_codigo]]="","",1)</f>
        <v>1</v>
      </c>
    </row>
    <row r="539" spans="1:10" x14ac:dyDescent="0.25">
      <c r="A539">
        <v>1</v>
      </c>
      <c r="B539">
        <v>3</v>
      </c>
      <c r="C539" t="s">
        <v>11</v>
      </c>
      <c r="D539" t="s">
        <v>15</v>
      </c>
      <c r="E539" t="s">
        <v>50</v>
      </c>
      <c r="F539">
        <v>3627</v>
      </c>
      <c r="G539">
        <f>+YEAR(Tabla__192.168.1.8_POSEIDONSQL_APPFVT_01_SQLFacturasRendidas[[#This Row],[f_facturacion]])</f>
        <v>2018</v>
      </c>
      <c r="H53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39">
        <f>+IF(Tabla__192.168.1.8_POSEIDONSQL_APPFVT_01_SQLFacturasRendidas[[#This Row],[epc_nombre]]="RENDIDA",1,0)</f>
        <v>1</v>
      </c>
      <c r="J539">
        <f>+IF(Tabla__192.168.1.8_POSEIDONSQL_APPFVT_01_SQLFacturasRendidas[[#This Row],[usu_codigo]]="","",1)</f>
        <v>1</v>
      </c>
    </row>
    <row r="540" spans="1:10" x14ac:dyDescent="0.25">
      <c r="A540">
        <v>1</v>
      </c>
      <c r="B540">
        <v>3</v>
      </c>
      <c r="C540" t="s">
        <v>11</v>
      </c>
      <c r="D540" t="s">
        <v>15</v>
      </c>
      <c r="E540" t="s">
        <v>50</v>
      </c>
      <c r="F540">
        <v>3628</v>
      </c>
      <c r="G540">
        <f>+YEAR(Tabla__192.168.1.8_POSEIDONSQL_APPFVT_01_SQLFacturasRendidas[[#This Row],[f_facturacion]])</f>
        <v>2018</v>
      </c>
      <c r="H54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40">
        <f>+IF(Tabla__192.168.1.8_POSEIDONSQL_APPFVT_01_SQLFacturasRendidas[[#This Row],[epc_nombre]]="RENDIDA",1,0)</f>
        <v>1</v>
      </c>
      <c r="J540">
        <f>+IF(Tabla__192.168.1.8_POSEIDONSQL_APPFVT_01_SQLFacturasRendidas[[#This Row],[usu_codigo]]="","",1)</f>
        <v>1</v>
      </c>
    </row>
    <row r="541" spans="1:10" x14ac:dyDescent="0.25">
      <c r="A541">
        <v>1</v>
      </c>
      <c r="B541">
        <v>3</v>
      </c>
      <c r="C541" t="s">
        <v>11</v>
      </c>
      <c r="D541" t="s">
        <v>15</v>
      </c>
      <c r="E541" t="s">
        <v>50</v>
      </c>
      <c r="F541">
        <v>3629</v>
      </c>
      <c r="G541">
        <f>+YEAR(Tabla__192.168.1.8_POSEIDONSQL_APPFVT_01_SQLFacturasRendidas[[#This Row],[f_facturacion]])</f>
        <v>2018</v>
      </c>
      <c r="H54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41">
        <f>+IF(Tabla__192.168.1.8_POSEIDONSQL_APPFVT_01_SQLFacturasRendidas[[#This Row],[epc_nombre]]="RENDIDA",1,0)</f>
        <v>1</v>
      </c>
      <c r="J541">
        <f>+IF(Tabla__192.168.1.8_POSEIDONSQL_APPFVT_01_SQLFacturasRendidas[[#This Row],[usu_codigo]]="","",1)</f>
        <v>1</v>
      </c>
    </row>
    <row r="542" spans="1:10" x14ac:dyDescent="0.25">
      <c r="A542">
        <v>1</v>
      </c>
      <c r="B542">
        <v>3</v>
      </c>
      <c r="C542" t="s">
        <v>11</v>
      </c>
      <c r="D542" t="s">
        <v>15</v>
      </c>
      <c r="E542" t="s">
        <v>50</v>
      </c>
      <c r="F542">
        <v>3630</v>
      </c>
      <c r="G542">
        <f>+YEAR(Tabla__192.168.1.8_POSEIDONSQL_APPFVT_01_SQLFacturasRendidas[[#This Row],[f_facturacion]])</f>
        <v>2018</v>
      </c>
      <c r="H54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42">
        <f>+IF(Tabla__192.168.1.8_POSEIDONSQL_APPFVT_01_SQLFacturasRendidas[[#This Row],[epc_nombre]]="RENDIDA",1,0)</f>
        <v>1</v>
      </c>
      <c r="J542">
        <f>+IF(Tabla__192.168.1.8_POSEIDONSQL_APPFVT_01_SQLFacturasRendidas[[#This Row],[usu_codigo]]="","",1)</f>
        <v>1</v>
      </c>
    </row>
    <row r="543" spans="1:10" x14ac:dyDescent="0.25">
      <c r="A543">
        <v>1</v>
      </c>
      <c r="B543">
        <v>3</v>
      </c>
      <c r="C543" t="s">
        <v>11</v>
      </c>
      <c r="D543" t="s">
        <v>15</v>
      </c>
      <c r="E543" t="s">
        <v>50</v>
      </c>
      <c r="F543">
        <v>3631</v>
      </c>
      <c r="G543">
        <f>+YEAR(Tabla__192.168.1.8_POSEIDONSQL_APPFVT_01_SQLFacturasRendidas[[#This Row],[f_facturacion]])</f>
        <v>2018</v>
      </c>
      <c r="H54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43">
        <f>+IF(Tabla__192.168.1.8_POSEIDONSQL_APPFVT_01_SQLFacturasRendidas[[#This Row],[epc_nombre]]="RENDIDA",1,0)</f>
        <v>1</v>
      </c>
      <c r="J543">
        <f>+IF(Tabla__192.168.1.8_POSEIDONSQL_APPFVT_01_SQLFacturasRendidas[[#This Row],[usu_codigo]]="","",1)</f>
        <v>1</v>
      </c>
    </row>
    <row r="544" spans="1:10" x14ac:dyDescent="0.25">
      <c r="A544">
        <v>1</v>
      </c>
      <c r="B544">
        <v>3</v>
      </c>
      <c r="C544" t="s">
        <v>11</v>
      </c>
      <c r="D544" t="s">
        <v>15</v>
      </c>
      <c r="E544" t="s">
        <v>50</v>
      </c>
      <c r="F544">
        <v>3632</v>
      </c>
      <c r="G544">
        <f>+YEAR(Tabla__192.168.1.8_POSEIDONSQL_APPFVT_01_SQLFacturasRendidas[[#This Row],[f_facturacion]])</f>
        <v>2018</v>
      </c>
      <c r="H54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44">
        <f>+IF(Tabla__192.168.1.8_POSEIDONSQL_APPFVT_01_SQLFacturasRendidas[[#This Row],[epc_nombre]]="RENDIDA",1,0)</f>
        <v>1</v>
      </c>
      <c r="J544">
        <f>+IF(Tabla__192.168.1.8_POSEIDONSQL_APPFVT_01_SQLFacturasRendidas[[#This Row],[usu_codigo]]="","",1)</f>
        <v>1</v>
      </c>
    </row>
    <row r="545" spans="1:10" x14ac:dyDescent="0.25">
      <c r="A545">
        <v>1</v>
      </c>
      <c r="B545">
        <v>3</v>
      </c>
      <c r="C545" t="s">
        <v>11</v>
      </c>
      <c r="D545" t="s">
        <v>15</v>
      </c>
      <c r="E545" t="s">
        <v>49</v>
      </c>
      <c r="F545">
        <v>3686</v>
      </c>
      <c r="G545">
        <f>+YEAR(Tabla__192.168.1.8_POSEIDONSQL_APPFVT_01_SQLFacturasRendidas[[#This Row],[f_facturacion]])</f>
        <v>2018</v>
      </c>
      <c r="H54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45">
        <f>+IF(Tabla__192.168.1.8_POSEIDONSQL_APPFVT_01_SQLFacturasRendidas[[#This Row],[epc_nombre]]="RENDIDA",1,0)</f>
        <v>1</v>
      </c>
      <c r="J545">
        <f>+IF(Tabla__192.168.1.8_POSEIDONSQL_APPFVT_01_SQLFacturasRendidas[[#This Row],[usu_codigo]]="","",1)</f>
        <v>1</v>
      </c>
    </row>
    <row r="546" spans="1:10" x14ac:dyDescent="0.25">
      <c r="A546">
        <v>1</v>
      </c>
      <c r="B546">
        <v>3</v>
      </c>
      <c r="C546" t="s">
        <v>11</v>
      </c>
      <c r="D546" t="s">
        <v>15</v>
      </c>
      <c r="E546" t="s">
        <v>49</v>
      </c>
      <c r="F546">
        <v>3687</v>
      </c>
      <c r="G546">
        <f>+YEAR(Tabla__192.168.1.8_POSEIDONSQL_APPFVT_01_SQLFacturasRendidas[[#This Row],[f_facturacion]])</f>
        <v>2018</v>
      </c>
      <c r="H54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46">
        <f>+IF(Tabla__192.168.1.8_POSEIDONSQL_APPFVT_01_SQLFacturasRendidas[[#This Row],[epc_nombre]]="RENDIDA",1,0)</f>
        <v>1</v>
      </c>
      <c r="J546">
        <f>+IF(Tabla__192.168.1.8_POSEIDONSQL_APPFVT_01_SQLFacturasRendidas[[#This Row],[usu_codigo]]="","",1)</f>
        <v>1</v>
      </c>
    </row>
    <row r="547" spans="1:10" x14ac:dyDescent="0.25">
      <c r="A547">
        <v>1</v>
      </c>
      <c r="B547">
        <v>3</v>
      </c>
      <c r="C547" t="s">
        <v>11</v>
      </c>
      <c r="D547" t="s">
        <v>15</v>
      </c>
      <c r="E547" t="s">
        <v>49</v>
      </c>
      <c r="F547">
        <v>3688</v>
      </c>
      <c r="G547">
        <f>+YEAR(Tabla__192.168.1.8_POSEIDONSQL_APPFVT_01_SQLFacturasRendidas[[#This Row],[f_facturacion]])</f>
        <v>2018</v>
      </c>
      <c r="H54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47">
        <f>+IF(Tabla__192.168.1.8_POSEIDONSQL_APPFVT_01_SQLFacturasRendidas[[#This Row],[epc_nombre]]="RENDIDA",1,0)</f>
        <v>1</v>
      </c>
      <c r="J547">
        <f>+IF(Tabla__192.168.1.8_POSEIDONSQL_APPFVT_01_SQLFacturasRendidas[[#This Row],[usu_codigo]]="","",1)</f>
        <v>1</v>
      </c>
    </row>
    <row r="548" spans="1:10" x14ac:dyDescent="0.25">
      <c r="A548">
        <v>1</v>
      </c>
      <c r="B548">
        <v>3</v>
      </c>
      <c r="C548" t="s">
        <v>11</v>
      </c>
      <c r="D548" t="s">
        <v>15</v>
      </c>
      <c r="E548" t="s">
        <v>49</v>
      </c>
      <c r="F548">
        <v>3689</v>
      </c>
      <c r="G548">
        <f>+YEAR(Tabla__192.168.1.8_POSEIDONSQL_APPFVT_01_SQLFacturasRendidas[[#This Row],[f_facturacion]])</f>
        <v>2018</v>
      </c>
      <c r="H54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48">
        <f>+IF(Tabla__192.168.1.8_POSEIDONSQL_APPFVT_01_SQLFacturasRendidas[[#This Row],[epc_nombre]]="RENDIDA",1,0)</f>
        <v>1</v>
      </c>
      <c r="J548">
        <f>+IF(Tabla__192.168.1.8_POSEIDONSQL_APPFVT_01_SQLFacturasRendidas[[#This Row],[usu_codigo]]="","",1)</f>
        <v>1</v>
      </c>
    </row>
    <row r="549" spans="1:10" x14ac:dyDescent="0.25">
      <c r="A549">
        <v>1</v>
      </c>
      <c r="B549">
        <v>3</v>
      </c>
      <c r="C549" t="s">
        <v>11</v>
      </c>
      <c r="D549" t="s">
        <v>15</v>
      </c>
      <c r="E549" t="s">
        <v>49</v>
      </c>
      <c r="F549">
        <v>3690</v>
      </c>
      <c r="G549">
        <f>+YEAR(Tabla__192.168.1.8_POSEIDONSQL_APPFVT_01_SQLFacturasRendidas[[#This Row],[f_facturacion]])</f>
        <v>2018</v>
      </c>
      <c r="H54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49">
        <f>+IF(Tabla__192.168.1.8_POSEIDONSQL_APPFVT_01_SQLFacturasRendidas[[#This Row],[epc_nombre]]="RENDIDA",1,0)</f>
        <v>1</v>
      </c>
      <c r="J549">
        <f>+IF(Tabla__192.168.1.8_POSEIDONSQL_APPFVT_01_SQLFacturasRendidas[[#This Row],[usu_codigo]]="","",1)</f>
        <v>1</v>
      </c>
    </row>
    <row r="550" spans="1:10" x14ac:dyDescent="0.25">
      <c r="A550">
        <v>1</v>
      </c>
      <c r="B550">
        <v>3</v>
      </c>
      <c r="C550" t="s">
        <v>11</v>
      </c>
      <c r="D550" t="s">
        <v>23</v>
      </c>
      <c r="E550" t="s">
        <v>49</v>
      </c>
      <c r="F550">
        <v>3691</v>
      </c>
      <c r="G550">
        <f>+YEAR(Tabla__192.168.1.8_POSEIDONSQL_APPFVT_01_SQLFacturasRendidas[[#This Row],[f_facturacion]])</f>
        <v>2018</v>
      </c>
      <c r="H55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50">
        <f>+IF(Tabla__192.168.1.8_POSEIDONSQL_APPFVT_01_SQLFacturasRendidas[[#This Row],[epc_nombre]]="RENDIDA",1,0)</f>
        <v>0</v>
      </c>
      <c r="J550">
        <f>+IF(Tabla__192.168.1.8_POSEIDONSQL_APPFVT_01_SQLFacturasRendidas[[#This Row],[usu_codigo]]="","",1)</f>
        <v>1</v>
      </c>
    </row>
    <row r="551" spans="1:10" x14ac:dyDescent="0.25">
      <c r="A551">
        <v>1</v>
      </c>
      <c r="B551">
        <v>3</v>
      </c>
      <c r="C551" t="s">
        <v>11</v>
      </c>
      <c r="D551" t="s">
        <v>15</v>
      </c>
      <c r="E551" t="s">
        <v>49</v>
      </c>
      <c r="F551">
        <v>3692</v>
      </c>
      <c r="G551">
        <f>+YEAR(Tabla__192.168.1.8_POSEIDONSQL_APPFVT_01_SQLFacturasRendidas[[#This Row],[f_facturacion]])</f>
        <v>2018</v>
      </c>
      <c r="H55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51">
        <f>+IF(Tabla__192.168.1.8_POSEIDONSQL_APPFVT_01_SQLFacturasRendidas[[#This Row],[epc_nombre]]="RENDIDA",1,0)</f>
        <v>1</v>
      </c>
      <c r="J551">
        <f>+IF(Tabla__192.168.1.8_POSEIDONSQL_APPFVT_01_SQLFacturasRendidas[[#This Row],[usu_codigo]]="","",1)</f>
        <v>1</v>
      </c>
    </row>
    <row r="552" spans="1:10" x14ac:dyDescent="0.25">
      <c r="A552">
        <v>1</v>
      </c>
      <c r="B552">
        <v>3</v>
      </c>
      <c r="C552" t="s">
        <v>11</v>
      </c>
      <c r="D552" t="s">
        <v>15</v>
      </c>
      <c r="E552" t="s">
        <v>49</v>
      </c>
      <c r="F552">
        <v>3693</v>
      </c>
      <c r="G552">
        <f>+YEAR(Tabla__192.168.1.8_POSEIDONSQL_APPFVT_01_SQLFacturasRendidas[[#This Row],[f_facturacion]])</f>
        <v>2018</v>
      </c>
      <c r="H55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52">
        <f>+IF(Tabla__192.168.1.8_POSEIDONSQL_APPFVT_01_SQLFacturasRendidas[[#This Row],[epc_nombre]]="RENDIDA",1,0)</f>
        <v>1</v>
      </c>
      <c r="J552">
        <f>+IF(Tabla__192.168.1.8_POSEIDONSQL_APPFVT_01_SQLFacturasRendidas[[#This Row],[usu_codigo]]="","",1)</f>
        <v>1</v>
      </c>
    </row>
    <row r="553" spans="1:10" x14ac:dyDescent="0.25">
      <c r="A553">
        <v>1</v>
      </c>
      <c r="B553">
        <v>3</v>
      </c>
      <c r="C553" t="s">
        <v>11</v>
      </c>
      <c r="D553" t="s">
        <v>15</v>
      </c>
      <c r="E553" t="s">
        <v>49</v>
      </c>
      <c r="F553">
        <v>3694</v>
      </c>
      <c r="G553">
        <f>+YEAR(Tabla__192.168.1.8_POSEIDONSQL_APPFVT_01_SQLFacturasRendidas[[#This Row],[f_facturacion]])</f>
        <v>2018</v>
      </c>
      <c r="H55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53">
        <f>+IF(Tabla__192.168.1.8_POSEIDONSQL_APPFVT_01_SQLFacturasRendidas[[#This Row],[epc_nombre]]="RENDIDA",1,0)</f>
        <v>1</v>
      </c>
      <c r="J553">
        <f>+IF(Tabla__192.168.1.8_POSEIDONSQL_APPFVT_01_SQLFacturasRendidas[[#This Row],[usu_codigo]]="","",1)</f>
        <v>1</v>
      </c>
    </row>
    <row r="554" spans="1:10" x14ac:dyDescent="0.25">
      <c r="A554">
        <v>1</v>
      </c>
      <c r="B554">
        <v>3</v>
      </c>
      <c r="C554" t="s">
        <v>11</v>
      </c>
      <c r="D554" t="s">
        <v>15</v>
      </c>
      <c r="E554" t="s">
        <v>49</v>
      </c>
      <c r="F554">
        <v>3695</v>
      </c>
      <c r="G554">
        <f>+YEAR(Tabla__192.168.1.8_POSEIDONSQL_APPFVT_01_SQLFacturasRendidas[[#This Row],[f_facturacion]])</f>
        <v>2018</v>
      </c>
      <c r="H55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54">
        <f>+IF(Tabla__192.168.1.8_POSEIDONSQL_APPFVT_01_SQLFacturasRendidas[[#This Row],[epc_nombre]]="RENDIDA",1,0)</f>
        <v>1</v>
      </c>
      <c r="J554">
        <f>+IF(Tabla__192.168.1.8_POSEIDONSQL_APPFVT_01_SQLFacturasRendidas[[#This Row],[usu_codigo]]="","",1)</f>
        <v>1</v>
      </c>
    </row>
    <row r="555" spans="1:10" x14ac:dyDescent="0.25">
      <c r="A555">
        <v>1</v>
      </c>
      <c r="B555">
        <v>3</v>
      </c>
      <c r="C555" t="s">
        <v>11</v>
      </c>
      <c r="D555" t="s">
        <v>15</v>
      </c>
      <c r="E555" t="s">
        <v>49</v>
      </c>
      <c r="F555">
        <v>3696</v>
      </c>
      <c r="G555">
        <f>+YEAR(Tabla__192.168.1.8_POSEIDONSQL_APPFVT_01_SQLFacturasRendidas[[#This Row],[f_facturacion]])</f>
        <v>2018</v>
      </c>
      <c r="H55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55">
        <f>+IF(Tabla__192.168.1.8_POSEIDONSQL_APPFVT_01_SQLFacturasRendidas[[#This Row],[epc_nombre]]="RENDIDA",1,0)</f>
        <v>1</v>
      </c>
      <c r="J555">
        <f>+IF(Tabla__192.168.1.8_POSEIDONSQL_APPFVT_01_SQLFacturasRendidas[[#This Row],[usu_codigo]]="","",1)</f>
        <v>1</v>
      </c>
    </row>
    <row r="556" spans="1:10" x14ac:dyDescent="0.25">
      <c r="A556">
        <v>1</v>
      </c>
      <c r="B556">
        <v>3</v>
      </c>
      <c r="C556" t="s">
        <v>11</v>
      </c>
      <c r="D556" t="s">
        <v>15</v>
      </c>
      <c r="E556" t="s">
        <v>49</v>
      </c>
      <c r="F556">
        <v>3697</v>
      </c>
      <c r="G556">
        <f>+YEAR(Tabla__192.168.1.8_POSEIDONSQL_APPFVT_01_SQLFacturasRendidas[[#This Row],[f_facturacion]])</f>
        <v>2018</v>
      </c>
      <c r="H55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56">
        <f>+IF(Tabla__192.168.1.8_POSEIDONSQL_APPFVT_01_SQLFacturasRendidas[[#This Row],[epc_nombre]]="RENDIDA",1,0)</f>
        <v>1</v>
      </c>
      <c r="J556">
        <f>+IF(Tabla__192.168.1.8_POSEIDONSQL_APPFVT_01_SQLFacturasRendidas[[#This Row],[usu_codigo]]="","",1)</f>
        <v>1</v>
      </c>
    </row>
    <row r="557" spans="1:10" x14ac:dyDescent="0.25">
      <c r="A557">
        <v>1</v>
      </c>
      <c r="B557">
        <v>3</v>
      </c>
      <c r="C557" t="s">
        <v>11</v>
      </c>
      <c r="D557" t="s">
        <v>15</v>
      </c>
      <c r="E557" t="s">
        <v>49</v>
      </c>
      <c r="F557">
        <v>3698</v>
      </c>
      <c r="G557">
        <f>+YEAR(Tabla__192.168.1.8_POSEIDONSQL_APPFVT_01_SQLFacturasRendidas[[#This Row],[f_facturacion]])</f>
        <v>2018</v>
      </c>
      <c r="H55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57">
        <f>+IF(Tabla__192.168.1.8_POSEIDONSQL_APPFVT_01_SQLFacturasRendidas[[#This Row],[epc_nombre]]="RENDIDA",1,0)</f>
        <v>1</v>
      </c>
      <c r="J557">
        <f>+IF(Tabla__192.168.1.8_POSEIDONSQL_APPFVT_01_SQLFacturasRendidas[[#This Row],[usu_codigo]]="","",1)</f>
        <v>1</v>
      </c>
    </row>
    <row r="558" spans="1:10" x14ac:dyDescent="0.25">
      <c r="A558">
        <v>1</v>
      </c>
      <c r="B558">
        <v>3</v>
      </c>
      <c r="C558" t="s">
        <v>11</v>
      </c>
      <c r="D558" t="s">
        <v>15</v>
      </c>
      <c r="E558" t="s">
        <v>67</v>
      </c>
      <c r="F558">
        <v>3699</v>
      </c>
      <c r="G558">
        <f>+YEAR(Tabla__192.168.1.8_POSEIDONSQL_APPFVT_01_SQLFacturasRendidas[[#This Row],[f_facturacion]])</f>
        <v>2018</v>
      </c>
      <c r="H55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58">
        <f>+IF(Tabla__192.168.1.8_POSEIDONSQL_APPFVT_01_SQLFacturasRendidas[[#This Row],[epc_nombre]]="RENDIDA",1,0)</f>
        <v>1</v>
      </c>
      <c r="J558">
        <f>+IF(Tabla__192.168.1.8_POSEIDONSQL_APPFVT_01_SQLFacturasRendidas[[#This Row],[usu_codigo]]="","",1)</f>
        <v>1</v>
      </c>
    </row>
    <row r="559" spans="1:10" x14ac:dyDescent="0.25">
      <c r="A559">
        <v>1</v>
      </c>
      <c r="B559">
        <v>3</v>
      </c>
      <c r="C559" t="s">
        <v>11</v>
      </c>
      <c r="D559" t="s">
        <v>15</v>
      </c>
      <c r="E559" t="s">
        <v>67</v>
      </c>
      <c r="F559">
        <v>3700</v>
      </c>
      <c r="G559">
        <f>+YEAR(Tabla__192.168.1.8_POSEIDONSQL_APPFVT_01_SQLFacturasRendidas[[#This Row],[f_facturacion]])</f>
        <v>2018</v>
      </c>
      <c r="H55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59">
        <f>+IF(Tabla__192.168.1.8_POSEIDONSQL_APPFVT_01_SQLFacturasRendidas[[#This Row],[epc_nombre]]="RENDIDA",1,0)</f>
        <v>1</v>
      </c>
      <c r="J559">
        <f>+IF(Tabla__192.168.1.8_POSEIDONSQL_APPFVT_01_SQLFacturasRendidas[[#This Row],[usu_codigo]]="","",1)</f>
        <v>1</v>
      </c>
    </row>
    <row r="560" spans="1:10" x14ac:dyDescent="0.25">
      <c r="A560">
        <v>1</v>
      </c>
      <c r="B560">
        <v>3</v>
      </c>
      <c r="C560" t="s">
        <v>11</v>
      </c>
      <c r="D560" t="s">
        <v>15</v>
      </c>
      <c r="E560" t="s">
        <v>67</v>
      </c>
      <c r="F560">
        <v>3701</v>
      </c>
      <c r="G560">
        <f>+YEAR(Tabla__192.168.1.8_POSEIDONSQL_APPFVT_01_SQLFacturasRendidas[[#This Row],[f_facturacion]])</f>
        <v>2018</v>
      </c>
      <c r="H56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60">
        <f>+IF(Tabla__192.168.1.8_POSEIDONSQL_APPFVT_01_SQLFacturasRendidas[[#This Row],[epc_nombre]]="RENDIDA",1,0)</f>
        <v>1</v>
      </c>
      <c r="J560">
        <f>+IF(Tabla__192.168.1.8_POSEIDONSQL_APPFVT_01_SQLFacturasRendidas[[#This Row],[usu_codigo]]="","",1)</f>
        <v>1</v>
      </c>
    </row>
    <row r="561" spans="1:10" x14ac:dyDescent="0.25">
      <c r="A561">
        <v>1</v>
      </c>
      <c r="B561">
        <v>3</v>
      </c>
      <c r="C561" t="s">
        <v>11</v>
      </c>
      <c r="D561" t="s">
        <v>15</v>
      </c>
      <c r="E561" t="s">
        <v>67</v>
      </c>
      <c r="F561">
        <v>3702</v>
      </c>
      <c r="G561">
        <f>+YEAR(Tabla__192.168.1.8_POSEIDONSQL_APPFVT_01_SQLFacturasRendidas[[#This Row],[f_facturacion]])</f>
        <v>2018</v>
      </c>
      <c r="H56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61">
        <f>+IF(Tabla__192.168.1.8_POSEIDONSQL_APPFVT_01_SQLFacturasRendidas[[#This Row],[epc_nombre]]="RENDIDA",1,0)</f>
        <v>1</v>
      </c>
      <c r="J561">
        <f>+IF(Tabla__192.168.1.8_POSEIDONSQL_APPFVT_01_SQLFacturasRendidas[[#This Row],[usu_codigo]]="","",1)</f>
        <v>1</v>
      </c>
    </row>
    <row r="562" spans="1:10" x14ac:dyDescent="0.25">
      <c r="A562">
        <v>1</v>
      </c>
      <c r="B562">
        <v>3</v>
      </c>
      <c r="C562" t="s">
        <v>11</v>
      </c>
      <c r="D562" t="s">
        <v>15</v>
      </c>
      <c r="E562" t="s">
        <v>67</v>
      </c>
      <c r="F562">
        <v>3703</v>
      </c>
      <c r="G562">
        <f>+YEAR(Tabla__192.168.1.8_POSEIDONSQL_APPFVT_01_SQLFacturasRendidas[[#This Row],[f_facturacion]])</f>
        <v>2018</v>
      </c>
      <c r="H56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62">
        <f>+IF(Tabla__192.168.1.8_POSEIDONSQL_APPFVT_01_SQLFacturasRendidas[[#This Row],[epc_nombre]]="RENDIDA",1,0)</f>
        <v>1</v>
      </c>
      <c r="J562">
        <f>+IF(Tabla__192.168.1.8_POSEIDONSQL_APPFVT_01_SQLFacturasRendidas[[#This Row],[usu_codigo]]="","",1)</f>
        <v>1</v>
      </c>
    </row>
    <row r="563" spans="1:10" x14ac:dyDescent="0.25">
      <c r="A563">
        <v>1</v>
      </c>
      <c r="B563">
        <v>3</v>
      </c>
      <c r="C563" t="s">
        <v>11</v>
      </c>
      <c r="D563" t="s">
        <v>15</v>
      </c>
      <c r="E563" t="s">
        <v>67</v>
      </c>
      <c r="F563">
        <v>3704</v>
      </c>
      <c r="G563">
        <f>+YEAR(Tabla__192.168.1.8_POSEIDONSQL_APPFVT_01_SQLFacturasRendidas[[#This Row],[f_facturacion]])</f>
        <v>2018</v>
      </c>
      <c r="H56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63">
        <f>+IF(Tabla__192.168.1.8_POSEIDONSQL_APPFVT_01_SQLFacturasRendidas[[#This Row],[epc_nombre]]="RENDIDA",1,0)</f>
        <v>1</v>
      </c>
      <c r="J563">
        <f>+IF(Tabla__192.168.1.8_POSEIDONSQL_APPFVT_01_SQLFacturasRendidas[[#This Row],[usu_codigo]]="","",1)</f>
        <v>1</v>
      </c>
    </row>
    <row r="564" spans="1:10" x14ac:dyDescent="0.25">
      <c r="A564">
        <v>1</v>
      </c>
      <c r="B564">
        <v>3</v>
      </c>
      <c r="C564" t="s">
        <v>11</v>
      </c>
      <c r="D564" t="s">
        <v>15</v>
      </c>
      <c r="E564" t="s">
        <v>67</v>
      </c>
      <c r="F564">
        <v>3705</v>
      </c>
      <c r="G564">
        <f>+YEAR(Tabla__192.168.1.8_POSEIDONSQL_APPFVT_01_SQLFacturasRendidas[[#This Row],[f_facturacion]])</f>
        <v>2018</v>
      </c>
      <c r="H56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64">
        <f>+IF(Tabla__192.168.1.8_POSEIDONSQL_APPFVT_01_SQLFacturasRendidas[[#This Row],[epc_nombre]]="RENDIDA",1,0)</f>
        <v>1</v>
      </c>
      <c r="J564">
        <f>+IF(Tabla__192.168.1.8_POSEIDONSQL_APPFVT_01_SQLFacturasRendidas[[#This Row],[usu_codigo]]="","",1)</f>
        <v>1</v>
      </c>
    </row>
    <row r="565" spans="1:10" x14ac:dyDescent="0.25">
      <c r="A565">
        <v>1</v>
      </c>
      <c r="B565">
        <v>3</v>
      </c>
      <c r="C565" t="s">
        <v>11</v>
      </c>
      <c r="D565" t="s">
        <v>15</v>
      </c>
      <c r="E565" t="s">
        <v>67</v>
      </c>
      <c r="F565">
        <v>3706</v>
      </c>
      <c r="G565">
        <f>+YEAR(Tabla__192.168.1.8_POSEIDONSQL_APPFVT_01_SQLFacturasRendidas[[#This Row],[f_facturacion]])</f>
        <v>2018</v>
      </c>
      <c r="H56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65">
        <f>+IF(Tabla__192.168.1.8_POSEIDONSQL_APPFVT_01_SQLFacturasRendidas[[#This Row],[epc_nombre]]="RENDIDA",1,0)</f>
        <v>1</v>
      </c>
      <c r="J565">
        <f>+IF(Tabla__192.168.1.8_POSEIDONSQL_APPFVT_01_SQLFacturasRendidas[[#This Row],[usu_codigo]]="","",1)</f>
        <v>1</v>
      </c>
    </row>
    <row r="566" spans="1:10" x14ac:dyDescent="0.25">
      <c r="A566">
        <v>1</v>
      </c>
      <c r="B566">
        <v>3</v>
      </c>
      <c r="C566" t="s">
        <v>11</v>
      </c>
      <c r="D566" t="s">
        <v>15</v>
      </c>
      <c r="E566" t="s">
        <v>67</v>
      </c>
      <c r="F566">
        <v>3707</v>
      </c>
      <c r="G566">
        <f>+YEAR(Tabla__192.168.1.8_POSEIDONSQL_APPFVT_01_SQLFacturasRendidas[[#This Row],[f_facturacion]])</f>
        <v>2018</v>
      </c>
      <c r="H56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66">
        <f>+IF(Tabla__192.168.1.8_POSEIDONSQL_APPFVT_01_SQLFacturasRendidas[[#This Row],[epc_nombre]]="RENDIDA",1,0)</f>
        <v>1</v>
      </c>
      <c r="J566">
        <f>+IF(Tabla__192.168.1.8_POSEIDONSQL_APPFVT_01_SQLFacturasRendidas[[#This Row],[usu_codigo]]="","",1)</f>
        <v>1</v>
      </c>
    </row>
    <row r="567" spans="1:10" x14ac:dyDescent="0.25">
      <c r="A567">
        <v>1</v>
      </c>
      <c r="B567">
        <v>3</v>
      </c>
      <c r="C567" t="s">
        <v>11</v>
      </c>
      <c r="D567" t="s">
        <v>15</v>
      </c>
      <c r="E567" t="s">
        <v>67</v>
      </c>
      <c r="F567">
        <v>3708</v>
      </c>
      <c r="G567">
        <f>+YEAR(Tabla__192.168.1.8_POSEIDONSQL_APPFVT_01_SQLFacturasRendidas[[#This Row],[f_facturacion]])</f>
        <v>2018</v>
      </c>
      <c r="H56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67">
        <f>+IF(Tabla__192.168.1.8_POSEIDONSQL_APPFVT_01_SQLFacturasRendidas[[#This Row],[epc_nombre]]="RENDIDA",1,0)</f>
        <v>1</v>
      </c>
      <c r="J567">
        <f>+IF(Tabla__192.168.1.8_POSEIDONSQL_APPFVT_01_SQLFacturasRendidas[[#This Row],[usu_codigo]]="","",1)</f>
        <v>1</v>
      </c>
    </row>
    <row r="568" spans="1:10" x14ac:dyDescent="0.25">
      <c r="A568">
        <v>1</v>
      </c>
      <c r="B568">
        <v>3</v>
      </c>
      <c r="C568" t="s">
        <v>11</v>
      </c>
      <c r="D568" t="s">
        <v>15</v>
      </c>
      <c r="E568" t="s">
        <v>67</v>
      </c>
      <c r="F568">
        <v>3709</v>
      </c>
      <c r="G568">
        <f>+YEAR(Tabla__192.168.1.8_POSEIDONSQL_APPFVT_01_SQLFacturasRendidas[[#This Row],[f_facturacion]])</f>
        <v>2018</v>
      </c>
      <c r="H56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68">
        <f>+IF(Tabla__192.168.1.8_POSEIDONSQL_APPFVT_01_SQLFacturasRendidas[[#This Row],[epc_nombre]]="RENDIDA",1,0)</f>
        <v>1</v>
      </c>
      <c r="J568">
        <f>+IF(Tabla__192.168.1.8_POSEIDONSQL_APPFVT_01_SQLFacturasRendidas[[#This Row],[usu_codigo]]="","",1)</f>
        <v>1</v>
      </c>
    </row>
    <row r="569" spans="1:10" x14ac:dyDescent="0.25">
      <c r="A569">
        <v>1</v>
      </c>
      <c r="B569">
        <v>3</v>
      </c>
      <c r="C569" t="s">
        <v>11</v>
      </c>
      <c r="D569" t="s">
        <v>15</v>
      </c>
      <c r="E569" t="s">
        <v>67</v>
      </c>
      <c r="F569">
        <v>3710</v>
      </c>
      <c r="G569">
        <f>+YEAR(Tabla__192.168.1.8_POSEIDONSQL_APPFVT_01_SQLFacturasRendidas[[#This Row],[f_facturacion]])</f>
        <v>2018</v>
      </c>
      <c r="H56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69">
        <f>+IF(Tabla__192.168.1.8_POSEIDONSQL_APPFVT_01_SQLFacturasRendidas[[#This Row],[epc_nombre]]="RENDIDA",1,0)</f>
        <v>1</v>
      </c>
      <c r="J569">
        <f>+IF(Tabla__192.168.1.8_POSEIDONSQL_APPFVT_01_SQLFacturasRendidas[[#This Row],[usu_codigo]]="","",1)</f>
        <v>1</v>
      </c>
    </row>
    <row r="570" spans="1:10" x14ac:dyDescent="0.25">
      <c r="A570">
        <v>1</v>
      </c>
      <c r="B570">
        <v>3</v>
      </c>
      <c r="C570" t="s">
        <v>11</v>
      </c>
      <c r="D570" t="s">
        <v>15</v>
      </c>
      <c r="E570" t="s">
        <v>67</v>
      </c>
      <c r="F570">
        <v>3711</v>
      </c>
      <c r="G570">
        <f>+YEAR(Tabla__192.168.1.8_POSEIDONSQL_APPFVT_01_SQLFacturasRendidas[[#This Row],[f_facturacion]])</f>
        <v>2018</v>
      </c>
      <c r="H57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70">
        <f>+IF(Tabla__192.168.1.8_POSEIDONSQL_APPFVT_01_SQLFacturasRendidas[[#This Row],[epc_nombre]]="RENDIDA",1,0)</f>
        <v>1</v>
      </c>
      <c r="J570">
        <f>+IF(Tabla__192.168.1.8_POSEIDONSQL_APPFVT_01_SQLFacturasRendidas[[#This Row],[usu_codigo]]="","",1)</f>
        <v>1</v>
      </c>
    </row>
    <row r="571" spans="1:10" x14ac:dyDescent="0.25">
      <c r="A571">
        <v>1</v>
      </c>
      <c r="B571">
        <v>3</v>
      </c>
      <c r="C571" t="s">
        <v>11</v>
      </c>
      <c r="D571" t="s">
        <v>15</v>
      </c>
      <c r="E571" t="s">
        <v>67</v>
      </c>
      <c r="F571">
        <v>3712</v>
      </c>
      <c r="G571">
        <f>+YEAR(Tabla__192.168.1.8_POSEIDONSQL_APPFVT_01_SQLFacturasRendidas[[#This Row],[f_facturacion]])</f>
        <v>2018</v>
      </c>
      <c r="H57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71">
        <f>+IF(Tabla__192.168.1.8_POSEIDONSQL_APPFVT_01_SQLFacturasRendidas[[#This Row],[epc_nombre]]="RENDIDA",1,0)</f>
        <v>1</v>
      </c>
      <c r="J571">
        <f>+IF(Tabla__192.168.1.8_POSEIDONSQL_APPFVT_01_SQLFacturasRendidas[[#This Row],[usu_codigo]]="","",1)</f>
        <v>1</v>
      </c>
    </row>
    <row r="572" spans="1:10" x14ac:dyDescent="0.25">
      <c r="A572">
        <v>1</v>
      </c>
      <c r="B572">
        <v>3</v>
      </c>
      <c r="C572" t="s">
        <v>11</v>
      </c>
      <c r="D572" t="s">
        <v>15</v>
      </c>
      <c r="E572" t="s">
        <v>67</v>
      </c>
      <c r="F572">
        <v>3713</v>
      </c>
      <c r="G572">
        <f>+YEAR(Tabla__192.168.1.8_POSEIDONSQL_APPFVT_01_SQLFacturasRendidas[[#This Row],[f_facturacion]])</f>
        <v>2018</v>
      </c>
      <c r="H57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72">
        <f>+IF(Tabla__192.168.1.8_POSEIDONSQL_APPFVT_01_SQLFacturasRendidas[[#This Row],[epc_nombre]]="RENDIDA",1,0)</f>
        <v>1</v>
      </c>
      <c r="J572">
        <f>+IF(Tabla__192.168.1.8_POSEIDONSQL_APPFVT_01_SQLFacturasRendidas[[#This Row],[usu_codigo]]="","",1)</f>
        <v>1</v>
      </c>
    </row>
    <row r="573" spans="1:10" x14ac:dyDescent="0.25">
      <c r="A573">
        <v>1</v>
      </c>
      <c r="B573">
        <v>3</v>
      </c>
      <c r="C573" t="s">
        <v>11</v>
      </c>
      <c r="D573" t="s">
        <v>15</v>
      </c>
      <c r="E573" t="s">
        <v>67</v>
      </c>
      <c r="F573">
        <v>3714</v>
      </c>
      <c r="G573">
        <f>+YEAR(Tabla__192.168.1.8_POSEIDONSQL_APPFVT_01_SQLFacturasRendidas[[#This Row],[f_facturacion]])</f>
        <v>2018</v>
      </c>
      <c r="H57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73">
        <f>+IF(Tabla__192.168.1.8_POSEIDONSQL_APPFVT_01_SQLFacturasRendidas[[#This Row],[epc_nombre]]="RENDIDA",1,0)</f>
        <v>1</v>
      </c>
      <c r="J573">
        <f>+IF(Tabla__192.168.1.8_POSEIDONSQL_APPFVT_01_SQLFacturasRendidas[[#This Row],[usu_codigo]]="","",1)</f>
        <v>1</v>
      </c>
    </row>
    <row r="574" spans="1:10" x14ac:dyDescent="0.25">
      <c r="A574">
        <v>1</v>
      </c>
      <c r="B574">
        <v>3</v>
      </c>
      <c r="C574" t="s">
        <v>11</v>
      </c>
      <c r="D574" t="s">
        <v>15</v>
      </c>
      <c r="E574" t="s">
        <v>67</v>
      </c>
      <c r="F574">
        <v>3715</v>
      </c>
      <c r="G574">
        <f>+YEAR(Tabla__192.168.1.8_POSEIDONSQL_APPFVT_01_SQLFacturasRendidas[[#This Row],[f_facturacion]])</f>
        <v>2018</v>
      </c>
      <c r="H57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74">
        <f>+IF(Tabla__192.168.1.8_POSEIDONSQL_APPFVT_01_SQLFacturasRendidas[[#This Row],[epc_nombre]]="RENDIDA",1,0)</f>
        <v>1</v>
      </c>
      <c r="J574">
        <f>+IF(Tabla__192.168.1.8_POSEIDONSQL_APPFVT_01_SQLFacturasRendidas[[#This Row],[usu_codigo]]="","",1)</f>
        <v>1</v>
      </c>
    </row>
    <row r="575" spans="1:10" x14ac:dyDescent="0.25">
      <c r="A575">
        <v>1</v>
      </c>
      <c r="B575">
        <v>3</v>
      </c>
      <c r="C575" t="s">
        <v>11</v>
      </c>
      <c r="D575" t="s">
        <v>15</v>
      </c>
      <c r="E575" t="s">
        <v>67</v>
      </c>
      <c r="F575">
        <v>3716</v>
      </c>
      <c r="G575">
        <f>+YEAR(Tabla__192.168.1.8_POSEIDONSQL_APPFVT_01_SQLFacturasRendidas[[#This Row],[f_facturacion]])</f>
        <v>2018</v>
      </c>
      <c r="H57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75">
        <f>+IF(Tabla__192.168.1.8_POSEIDONSQL_APPFVT_01_SQLFacturasRendidas[[#This Row],[epc_nombre]]="RENDIDA",1,0)</f>
        <v>1</v>
      </c>
      <c r="J575">
        <f>+IF(Tabla__192.168.1.8_POSEIDONSQL_APPFVT_01_SQLFacturasRendidas[[#This Row],[usu_codigo]]="","",1)</f>
        <v>1</v>
      </c>
    </row>
    <row r="576" spans="1:10" x14ac:dyDescent="0.25">
      <c r="A576">
        <v>1</v>
      </c>
      <c r="B576">
        <v>3</v>
      </c>
      <c r="C576" t="s">
        <v>11</v>
      </c>
      <c r="D576" t="s">
        <v>15</v>
      </c>
      <c r="E576" t="s">
        <v>67</v>
      </c>
      <c r="F576">
        <v>3717</v>
      </c>
      <c r="G576">
        <f>+YEAR(Tabla__192.168.1.8_POSEIDONSQL_APPFVT_01_SQLFacturasRendidas[[#This Row],[f_facturacion]])</f>
        <v>2018</v>
      </c>
      <c r="H57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76">
        <f>+IF(Tabla__192.168.1.8_POSEIDONSQL_APPFVT_01_SQLFacturasRendidas[[#This Row],[epc_nombre]]="RENDIDA",1,0)</f>
        <v>1</v>
      </c>
      <c r="J576">
        <f>+IF(Tabla__192.168.1.8_POSEIDONSQL_APPFVT_01_SQLFacturasRendidas[[#This Row],[usu_codigo]]="","",1)</f>
        <v>1</v>
      </c>
    </row>
    <row r="577" spans="1:10" x14ac:dyDescent="0.25">
      <c r="A577">
        <v>1</v>
      </c>
      <c r="B577">
        <v>3</v>
      </c>
      <c r="C577" t="s">
        <v>11</v>
      </c>
      <c r="D577" t="s">
        <v>15</v>
      </c>
      <c r="E577" t="s">
        <v>67</v>
      </c>
      <c r="F577">
        <v>3718</v>
      </c>
      <c r="G577">
        <f>+YEAR(Tabla__192.168.1.8_POSEIDONSQL_APPFVT_01_SQLFacturasRendidas[[#This Row],[f_facturacion]])</f>
        <v>2018</v>
      </c>
      <c r="H57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77">
        <f>+IF(Tabla__192.168.1.8_POSEIDONSQL_APPFVT_01_SQLFacturasRendidas[[#This Row],[epc_nombre]]="RENDIDA",1,0)</f>
        <v>1</v>
      </c>
      <c r="J577">
        <f>+IF(Tabla__192.168.1.8_POSEIDONSQL_APPFVT_01_SQLFacturasRendidas[[#This Row],[usu_codigo]]="","",1)</f>
        <v>1</v>
      </c>
    </row>
    <row r="578" spans="1:10" x14ac:dyDescent="0.25">
      <c r="A578">
        <v>1</v>
      </c>
      <c r="B578">
        <v>3</v>
      </c>
      <c r="C578" t="s">
        <v>11</v>
      </c>
      <c r="D578" t="s">
        <v>15</v>
      </c>
      <c r="E578" t="s">
        <v>67</v>
      </c>
      <c r="F578">
        <v>3719</v>
      </c>
      <c r="G578">
        <f>+YEAR(Tabla__192.168.1.8_POSEIDONSQL_APPFVT_01_SQLFacturasRendidas[[#This Row],[f_facturacion]])</f>
        <v>2018</v>
      </c>
      <c r="H57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78">
        <f>+IF(Tabla__192.168.1.8_POSEIDONSQL_APPFVT_01_SQLFacturasRendidas[[#This Row],[epc_nombre]]="RENDIDA",1,0)</f>
        <v>1</v>
      </c>
      <c r="J578">
        <f>+IF(Tabla__192.168.1.8_POSEIDONSQL_APPFVT_01_SQLFacturasRendidas[[#This Row],[usu_codigo]]="","",1)</f>
        <v>1</v>
      </c>
    </row>
    <row r="579" spans="1:10" x14ac:dyDescent="0.25">
      <c r="A579">
        <v>1</v>
      </c>
      <c r="B579">
        <v>3</v>
      </c>
      <c r="C579" t="s">
        <v>11</v>
      </c>
      <c r="D579" t="s">
        <v>15</v>
      </c>
      <c r="E579" t="s">
        <v>67</v>
      </c>
      <c r="F579">
        <v>3720</v>
      </c>
      <c r="G579">
        <f>+YEAR(Tabla__192.168.1.8_POSEIDONSQL_APPFVT_01_SQLFacturasRendidas[[#This Row],[f_facturacion]])</f>
        <v>2018</v>
      </c>
      <c r="H57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79">
        <f>+IF(Tabla__192.168.1.8_POSEIDONSQL_APPFVT_01_SQLFacturasRendidas[[#This Row],[epc_nombre]]="RENDIDA",1,0)</f>
        <v>1</v>
      </c>
      <c r="J579">
        <f>+IF(Tabla__192.168.1.8_POSEIDONSQL_APPFVT_01_SQLFacturasRendidas[[#This Row],[usu_codigo]]="","",1)</f>
        <v>1</v>
      </c>
    </row>
    <row r="580" spans="1:10" x14ac:dyDescent="0.25">
      <c r="A580">
        <v>1</v>
      </c>
      <c r="B580">
        <v>3</v>
      </c>
      <c r="C580" t="s">
        <v>11</v>
      </c>
      <c r="D580" t="s">
        <v>15</v>
      </c>
      <c r="E580" t="s">
        <v>67</v>
      </c>
      <c r="F580">
        <v>3721</v>
      </c>
      <c r="G580">
        <f>+YEAR(Tabla__192.168.1.8_POSEIDONSQL_APPFVT_01_SQLFacturasRendidas[[#This Row],[f_facturacion]])</f>
        <v>2018</v>
      </c>
      <c r="H58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80">
        <f>+IF(Tabla__192.168.1.8_POSEIDONSQL_APPFVT_01_SQLFacturasRendidas[[#This Row],[epc_nombre]]="RENDIDA",1,0)</f>
        <v>1</v>
      </c>
      <c r="J580">
        <f>+IF(Tabla__192.168.1.8_POSEIDONSQL_APPFVT_01_SQLFacturasRendidas[[#This Row],[usu_codigo]]="","",1)</f>
        <v>1</v>
      </c>
    </row>
    <row r="581" spans="1:10" x14ac:dyDescent="0.25">
      <c r="A581">
        <v>1</v>
      </c>
      <c r="B581">
        <v>3</v>
      </c>
      <c r="C581" t="s">
        <v>11</v>
      </c>
      <c r="D581" t="s">
        <v>15</v>
      </c>
      <c r="E581" t="s">
        <v>67</v>
      </c>
      <c r="F581">
        <v>3722</v>
      </c>
      <c r="G581">
        <f>+YEAR(Tabla__192.168.1.8_POSEIDONSQL_APPFVT_01_SQLFacturasRendidas[[#This Row],[f_facturacion]])</f>
        <v>2018</v>
      </c>
      <c r="H58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81">
        <f>+IF(Tabla__192.168.1.8_POSEIDONSQL_APPFVT_01_SQLFacturasRendidas[[#This Row],[epc_nombre]]="RENDIDA",1,0)</f>
        <v>1</v>
      </c>
      <c r="J581">
        <f>+IF(Tabla__192.168.1.8_POSEIDONSQL_APPFVT_01_SQLFacturasRendidas[[#This Row],[usu_codigo]]="","",1)</f>
        <v>1</v>
      </c>
    </row>
    <row r="582" spans="1:10" x14ac:dyDescent="0.25">
      <c r="A582">
        <v>1</v>
      </c>
      <c r="B582">
        <v>3</v>
      </c>
      <c r="C582" t="s">
        <v>11</v>
      </c>
      <c r="D582" t="s">
        <v>15</v>
      </c>
      <c r="E582" t="s">
        <v>67</v>
      </c>
      <c r="F582">
        <v>3723</v>
      </c>
      <c r="G582">
        <f>+YEAR(Tabla__192.168.1.8_POSEIDONSQL_APPFVT_01_SQLFacturasRendidas[[#This Row],[f_facturacion]])</f>
        <v>2018</v>
      </c>
      <c r="H58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82">
        <f>+IF(Tabla__192.168.1.8_POSEIDONSQL_APPFVT_01_SQLFacturasRendidas[[#This Row],[epc_nombre]]="RENDIDA",1,0)</f>
        <v>1</v>
      </c>
      <c r="J582">
        <f>+IF(Tabla__192.168.1.8_POSEIDONSQL_APPFVT_01_SQLFacturasRendidas[[#This Row],[usu_codigo]]="","",1)</f>
        <v>1</v>
      </c>
    </row>
    <row r="583" spans="1:10" x14ac:dyDescent="0.25">
      <c r="A583">
        <v>1</v>
      </c>
      <c r="B583">
        <v>3</v>
      </c>
      <c r="C583" t="s">
        <v>11</v>
      </c>
      <c r="D583" t="s">
        <v>15</v>
      </c>
      <c r="E583" t="s">
        <v>67</v>
      </c>
      <c r="F583">
        <v>3724</v>
      </c>
      <c r="G583">
        <f>+YEAR(Tabla__192.168.1.8_POSEIDONSQL_APPFVT_01_SQLFacturasRendidas[[#This Row],[f_facturacion]])</f>
        <v>2018</v>
      </c>
      <c r="H58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83">
        <f>+IF(Tabla__192.168.1.8_POSEIDONSQL_APPFVT_01_SQLFacturasRendidas[[#This Row],[epc_nombre]]="RENDIDA",1,0)</f>
        <v>1</v>
      </c>
      <c r="J583">
        <f>+IF(Tabla__192.168.1.8_POSEIDONSQL_APPFVT_01_SQLFacturasRendidas[[#This Row],[usu_codigo]]="","",1)</f>
        <v>1</v>
      </c>
    </row>
    <row r="584" spans="1:10" x14ac:dyDescent="0.25">
      <c r="A584">
        <v>1</v>
      </c>
      <c r="B584">
        <v>3</v>
      </c>
      <c r="C584" t="s">
        <v>11</v>
      </c>
      <c r="D584" t="s">
        <v>15</v>
      </c>
      <c r="E584" t="s">
        <v>67</v>
      </c>
      <c r="F584">
        <v>3725</v>
      </c>
      <c r="G584">
        <f>+YEAR(Tabla__192.168.1.8_POSEIDONSQL_APPFVT_01_SQLFacturasRendidas[[#This Row],[f_facturacion]])</f>
        <v>2018</v>
      </c>
      <c r="H58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84">
        <f>+IF(Tabla__192.168.1.8_POSEIDONSQL_APPFVT_01_SQLFacturasRendidas[[#This Row],[epc_nombre]]="RENDIDA",1,0)</f>
        <v>1</v>
      </c>
      <c r="J584">
        <f>+IF(Tabla__192.168.1.8_POSEIDONSQL_APPFVT_01_SQLFacturasRendidas[[#This Row],[usu_codigo]]="","",1)</f>
        <v>1</v>
      </c>
    </row>
    <row r="585" spans="1:10" x14ac:dyDescent="0.25">
      <c r="A585">
        <v>1</v>
      </c>
      <c r="B585">
        <v>3</v>
      </c>
      <c r="C585" t="s">
        <v>11</v>
      </c>
      <c r="D585" t="s">
        <v>15</v>
      </c>
      <c r="E585" t="s">
        <v>67</v>
      </c>
      <c r="F585">
        <v>3727</v>
      </c>
      <c r="G585">
        <f>+YEAR(Tabla__192.168.1.8_POSEIDONSQL_APPFVT_01_SQLFacturasRendidas[[#This Row],[f_facturacion]])</f>
        <v>2018</v>
      </c>
      <c r="H58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85">
        <f>+IF(Tabla__192.168.1.8_POSEIDONSQL_APPFVT_01_SQLFacturasRendidas[[#This Row],[epc_nombre]]="RENDIDA",1,0)</f>
        <v>1</v>
      </c>
      <c r="J585">
        <f>+IF(Tabla__192.168.1.8_POSEIDONSQL_APPFVT_01_SQLFacturasRendidas[[#This Row],[usu_codigo]]="","",1)</f>
        <v>1</v>
      </c>
    </row>
    <row r="586" spans="1:10" x14ac:dyDescent="0.25">
      <c r="A586">
        <v>1</v>
      </c>
      <c r="B586">
        <v>3</v>
      </c>
      <c r="C586" t="s">
        <v>11</v>
      </c>
      <c r="D586" t="s">
        <v>15</v>
      </c>
      <c r="E586" t="s">
        <v>67</v>
      </c>
      <c r="F586">
        <v>3736</v>
      </c>
      <c r="G586">
        <f>+YEAR(Tabla__192.168.1.8_POSEIDONSQL_APPFVT_01_SQLFacturasRendidas[[#This Row],[f_facturacion]])</f>
        <v>2018</v>
      </c>
      <c r="H58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86">
        <f>+IF(Tabla__192.168.1.8_POSEIDONSQL_APPFVT_01_SQLFacturasRendidas[[#This Row],[epc_nombre]]="RENDIDA",1,0)</f>
        <v>1</v>
      </c>
      <c r="J586">
        <f>+IF(Tabla__192.168.1.8_POSEIDONSQL_APPFVT_01_SQLFacturasRendidas[[#This Row],[usu_codigo]]="","",1)</f>
        <v>1</v>
      </c>
    </row>
    <row r="587" spans="1:10" x14ac:dyDescent="0.25">
      <c r="A587">
        <v>1</v>
      </c>
      <c r="B587">
        <v>3</v>
      </c>
      <c r="C587" t="s">
        <v>11</v>
      </c>
      <c r="D587" t="s">
        <v>15</v>
      </c>
      <c r="E587" t="s">
        <v>67</v>
      </c>
      <c r="F587">
        <v>3743</v>
      </c>
      <c r="G587">
        <f>+YEAR(Tabla__192.168.1.8_POSEIDONSQL_APPFVT_01_SQLFacturasRendidas[[#This Row],[f_facturacion]])</f>
        <v>2018</v>
      </c>
      <c r="H58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87">
        <f>+IF(Tabla__192.168.1.8_POSEIDONSQL_APPFVT_01_SQLFacturasRendidas[[#This Row],[epc_nombre]]="RENDIDA",1,0)</f>
        <v>1</v>
      </c>
      <c r="J587">
        <f>+IF(Tabla__192.168.1.8_POSEIDONSQL_APPFVT_01_SQLFacturasRendidas[[#This Row],[usu_codigo]]="","",1)</f>
        <v>1</v>
      </c>
    </row>
    <row r="588" spans="1:10" x14ac:dyDescent="0.25">
      <c r="A588">
        <v>1</v>
      </c>
      <c r="B588">
        <v>3</v>
      </c>
      <c r="C588" t="s">
        <v>11</v>
      </c>
      <c r="D588" t="s">
        <v>15</v>
      </c>
      <c r="E588" t="s">
        <v>67</v>
      </c>
      <c r="F588">
        <v>3744</v>
      </c>
      <c r="G588">
        <f>+YEAR(Tabla__192.168.1.8_POSEIDONSQL_APPFVT_01_SQLFacturasRendidas[[#This Row],[f_facturacion]])</f>
        <v>2018</v>
      </c>
      <c r="H58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88">
        <f>+IF(Tabla__192.168.1.8_POSEIDONSQL_APPFVT_01_SQLFacturasRendidas[[#This Row],[epc_nombre]]="RENDIDA",1,0)</f>
        <v>1</v>
      </c>
      <c r="J588">
        <f>+IF(Tabla__192.168.1.8_POSEIDONSQL_APPFVT_01_SQLFacturasRendidas[[#This Row],[usu_codigo]]="","",1)</f>
        <v>1</v>
      </c>
    </row>
    <row r="589" spans="1:10" x14ac:dyDescent="0.25">
      <c r="A589">
        <v>1</v>
      </c>
      <c r="B589">
        <v>3</v>
      </c>
      <c r="C589" t="s">
        <v>11</v>
      </c>
      <c r="D589" t="s">
        <v>15</v>
      </c>
      <c r="E589" t="s">
        <v>67</v>
      </c>
      <c r="F589">
        <v>3745</v>
      </c>
      <c r="G589">
        <f>+YEAR(Tabla__192.168.1.8_POSEIDONSQL_APPFVT_01_SQLFacturasRendidas[[#This Row],[f_facturacion]])</f>
        <v>2018</v>
      </c>
      <c r="H58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89">
        <f>+IF(Tabla__192.168.1.8_POSEIDONSQL_APPFVT_01_SQLFacturasRendidas[[#This Row],[epc_nombre]]="RENDIDA",1,0)</f>
        <v>1</v>
      </c>
      <c r="J589">
        <f>+IF(Tabla__192.168.1.8_POSEIDONSQL_APPFVT_01_SQLFacturasRendidas[[#This Row],[usu_codigo]]="","",1)</f>
        <v>1</v>
      </c>
    </row>
    <row r="590" spans="1:10" x14ac:dyDescent="0.25">
      <c r="A590">
        <v>1</v>
      </c>
      <c r="B590">
        <v>3</v>
      </c>
      <c r="C590" t="s">
        <v>11</v>
      </c>
      <c r="D590" t="s">
        <v>15</v>
      </c>
      <c r="E590" t="s">
        <v>67</v>
      </c>
      <c r="F590">
        <v>3746</v>
      </c>
      <c r="G590">
        <f>+YEAR(Tabla__192.168.1.8_POSEIDONSQL_APPFVT_01_SQLFacturasRendidas[[#This Row],[f_facturacion]])</f>
        <v>2018</v>
      </c>
      <c r="H59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90">
        <f>+IF(Tabla__192.168.1.8_POSEIDONSQL_APPFVT_01_SQLFacturasRendidas[[#This Row],[epc_nombre]]="RENDIDA",1,0)</f>
        <v>1</v>
      </c>
      <c r="J590">
        <f>+IF(Tabla__192.168.1.8_POSEIDONSQL_APPFVT_01_SQLFacturasRendidas[[#This Row],[usu_codigo]]="","",1)</f>
        <v>1</v>
      </c>
    </row>
    <row r="591" spans="1:10" x14ac:dyDescent="0.25">
      <c r="A591">
        <v>1</v>
      </c>
      <c r="B591">
        <v>3</v>
      </c>
      <c r="C591" t="s">
        <v>11</v>
      </c>
      <c r="D591" t="s">
        <v>15</v>
      </c>
      <c r="E591" t="s">
        <v>67</v>
      </c>
      <c r="F591">
        <v>3747</v>
      </c>
      <c r="G591">
        <f>+YEAR(Tabla__192.168.1.8_POSEIDONSQL_APPFVT_01_SQLFacturasRendidas[[#This Row],[f_facturacion]])</f>
        <v>2018</v>
      </c>
      <c r="H59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91">
        <f>+IF(Tabla__192.168.1.8_POSEIDONSQL_APPFVT_01_SQLFacturasRendidas[[#This Row],[epc_nombre]]="RENDIDA",1,0)</f>
        <v>1</v>
      </c>
      <c r="J591">
        <f>+IF(Tabla__192.168.1.8_POSEIDONSQL_APPFVT_01_SQLFacturasRendidas[[#This Row],[usu_codigo]]="","",1)</f>
        <v>1</v>
      </c>
    </row>
    <row r="592" spans="1:10" x14ac:dyDescent="0.25">
      <c r="A592">
        <v>1</v>
      </c>
      <c r="B592">
        <v>3</v>
      </c>
      <c r="C592" t="s">
        <v>11</v>
      </c>
      <c r="D592" t="s">
        <v>15</v>
      </c>
      <c r="E592" t="s">
        <v>68</v>
      </c>
      <c r="F592">
        <v>3801</v>
      </c>
      <c r="G592">
        <f>+YEAR(Tabla__192.168.1.8_POSEIDONSQL_APPFVT_01_SQLFacturasRendidas[[#This Row],[f_facturacion]])</f>
        <v>2018</v>
      </c>
      <c r="H59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92">
        <f>+IF(Tabla__192.168.1.8_POSEIDONSQL_APPFVT_01_SQLFacturasRendidas[[#This Row],[epc_nombre]]="RENDIDA",1,0)</f>
        <v>1</v>
      </c>
      <c r="J592">
        <f>+IF(Tabla__192.168.1.8_POSEIDONSQL_APPFVT_01_SQLFacturasRendidas[[#This Row],[usu_codigo]]="","",1)</f>
        <v>1</v>
      </c>
    </row>
    <row r="593" spans="1:10" x14ac:dyDescent="0.25">
      <c r="A593">
        <v>1</v>
      </c>
      <c r="B593">
        <v>3</v>
      </c>
      <c r="C593" t="s">
        <v>11</v>
      </c>
      <c r="D593" t="s">
        <v>15</v>
      </c>
      <c r="E593" t="s">
        <v>68</v>
      </c>
      <c r="F593">
        <v>3802</v>
      </c>
      <c r="G593">
        <f>+YEAR(Tabla__192.168.1.8_POSEIDONSQL_APPFVT_01_SQLFacturasRendidas[[#This Row],[f_facturacion]])</f>
        <v>2018</v>
      </c>
      <c r="H59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93">
        <f>+IF(Tabla__192.168.1.8_POSEIDONSQL_APPFVT_01_SQLFacturasRendidas[[#This Row],[epc_nombre]]="RENDIDA",1,0)</f>
        <v>1</v>
      </c>
      <c r="J593">
        <f>+IF(Tabla__192.168.1.8_POSEIDONSQL_APPFVT_01_SQLFacturasRendidas[[#This Row],[usu_codigo]]="","",1)</f>
        <v>1</v>
      </c>
    </row>
    <row r="594" spans="1:10" x14ac:dyDescent="0.25">
      <c r="A594">
        <v>1</v>
      </c>
      <c r="B594">
        <v>3</v>
      </c>
      <c r="C594" t="s">
        <v>11</v>
      </c>
      <c r="D594" t="s">
        <v>15</v>
      </c>
      <c r="E594" t="s">
        <v>68</v>
      </c>
      <c r="F594">
        <v>3803</v>
      </c>
      <c r="G594">
        <f>+YEAR(Tabla__192.168.1.8_POSEIDONSQL_APPFVT_01_SQLFacturasRendidas[[#This Row],[f_facturacion]])</f>
        <v>2018</v>
      </c>
      <c r="H59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94">
        <f>+IF(Tabla__192.168.1.8_POSEIDONSQL_APPFVT_01_SQLFacturasRendidas[[#This Row],[epc_nombre]]="RENDIDA",1,0)</f>
        <v>1</v>
      </c>
      <c r="J594">
        <f>+IF(Tabla__192.168.1.8_POSEIDONSQL_APPFVT_01_SQLFacturasRendidas[[#This Row],[usu_codigo]]="","",1)</f>
        <v>1</v>
      </c>
    </row>
    <row r="595" spans="1:10" x14ac:dyDescent="0.25">
      <c r="A595">
        <v>1</v>
      </c>
      <c r="B595">
        <v>3</v>
      </c>
      <c r="C595" t="s">
        <v>11</v>
      </c>
      <c r="D595" t="s">
        <v>15</v>
      </c>
      <c r="E595" t="s">
        <v>68</v>
      </c>
      <c r="F595">
        <v>3804</v>
      </c>
      <c r="G595">
        <f>+YEAR(Tabla__192.168.1.8_POSEIDONSQL_APPFVT_01_SQLFacturasRendidas[[#This Row],[f_facturacion]])</f>
        <v>2018</v>
      </c>
      <c r="H59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95">
        <f>+IF(Tabla__192.168.1.8_POSEIDONSQL_APPFVT_01_SQLFacturasRendidas[[#This Row],[epc_nombre]]="RENDIDA",1,0)</f>
        <v>1</v>
      </c>
      <c r="J595">
        <f>+IF(Tabla__192.168.1.8_POSEIDONSQL_APPFVT_01_SQLFacturasRendidas[[#This Row],[usu_codigo]]="","",1)</f>
        <v>1</v>
      </c>
    </row>
    <row r="596" spans="1:10" x14ac:dyDescent="0.25">
      <c r="A596">
        <v>1</v>
      </c>
      <c r="B596">
        <v>3</v>
      </c>
      <c r="C596" t="s">
        <v>11</v>
      </c>
      <c r="D596" t="s">
        <v>15</v>
      </c>
      <c r="E596" t="s">
        <v>68</v>
      </c>
      <c r="F596">
        <v>3805</v>
      </c>
      <c r="G596">
        <f>+YEAR(Tabla__192.168.1.8_POSEIDONSQL_APPFVT_01_SQLFacturasRendidas[[#This Row],[f_facturacion]])</f>
        <v>2018</v>
      </c>
      <c r="H59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96">
        <f>+IF(Tabla__192.168.1.8_POSEIDONSQL_APPFVT_01_SQLFacturasRendidas[[#This Row],[epc_nombre]]="RENDIDA",1,0)</f>
        <v>1</v>
      </c>
      <c r="J596">
        <f>+IF(Tabla__192.168.1.8_POSEIDONSQL_APPFVT_01_SQLFacturasRendidas[[#This Row],[usu_codigo]]="","",1)</f>
        <v>1</v>
      </c>
    </row>
    <row r="597" spans="1:10" x14ac:dyDescent="0.25">
      <c r="A597">
        <v>1</v>
      </c>
      <c r="B597">
        <v>3</v>
      </c>
      <c r="C597" t="s">
        <v>11</v>
      </c>
      <c r="D597" t="s">
        <v>15</v>
      </c>
      <c r="E597" t="s">
        <v>68</v>
      </c>
      <c r="F597">
        <v>3806</v>
      </c>
      <c r="G597">
        <f>+YEAR(Tabla__192.168.1.8_POSEIDONSQL_APPFVT_01_SQLFacturasRendidas[[#This Row],[f_facturacion]])</f>
        <v>2018</v>
      </c>
      <c r="H59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97">
        <f>+IF(Tabla__192.168.1.8_POSEIDONSQL_APPFVT_01_SQLFacturasRendidas[[#This Row],[epc_nombre]]="RENDIDA",1,0)</f>
        <v>1</v>
      </c>
      <c r="J597">
        <f>+IF(Tabla__192.168.1.8_POSEIDONSQL_APPFVT_01_SQLFacturasRendidas[[#This Row],[usu_codigo]]="","",1)</f>
        <v>1</v>
      </c>
    </row>
    <row r="598" spans="1:10" x14ac:dyDescent="0.25">
      <c r="A598">
        <v>1</v>
      </c>
      <c r="B598">
        <v>3</v>
      </c>
      <c r="C598" t="s">
        <v>11</v>
      </c>
      <c r="D598" t="s">
        <v>15</v>
      </c>
      <c r="E598" t="s">
        <v>68</v>
      </c>
      <c r="F598">
        <v>3807</v>
      </c>
      <c r="G598">
        <f>+YEAR(Tabla__192.168.1.8_POSEIDONSQL_APPFVT_01_SQLFacturasRendidas[[#This Row],[f_facturacion]])</f>
        <v>2018</v>
      </c>
      <c r="H59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98">
        <f>+IF(Tabla__192.168.1.8_POSEIDONSQL_APPFVT_01_SQLFacturasRendidas[[#This Row],[epc_nombre]]="RENDIDA",1,0)</f>
        <v>1</v>
      </c>
      <c r="J598">
        <f>+IF(Tabla__192.168.1.8_POSEIDONSQL_APPFVT_01_SQLFacturasRendidas[[#This Row],[usu_codigo]]="","",1)</f>
        <v>1</v>
      </c>
    </row>
    <row r="599" spans="1:10" x14ac:dyDescent="0.25">
      <c r="A599">
        <v>1</v>
      </c>
      <c r="B599">
        <v>3</v>
      </c>
      <c r="C599" t="s">
        <v>11</v>
      </c>
      <c r="D599" t="s">
        <v>15</v>
      </c>
      <c r="E599" t="s">
        <v>68</v>
      </c>
      <c r="F599">
        <v>3808</v>
      </c>
      <c r="G599">
        <f>+YEAR(Tabla__192.168.1.8_POSEIDONSQL_APPFVT_01_SQLFacturasRendidas[[#This Row],[f_facturacion]])</f>
        <v>2018</v>
      </c>
      <c r="H59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599">
        <f>+IF(Tabla__192.168.1.8_POSEIDONSQL_APPFVT_01_SQLFacturasRendidas[[#This Row],[epc_nombre]]="RENDIDA",1,0)</f>
        <v>1</v>
      </c>
      <c r="J599">
        <f>+IF(Tabla__192.168.1.8_POSEIDONSQL_APPFVT_01_SQLFacturasRendidas[[#This Row],[usu_codigo]]="","",1)</f>
        <v>1</v>
      </c>
    </row>
    <row r="600" spans="1:10" x14ac:dyDescent="0.25">
      <c r="A600">
        <v>1</v>
      </c>
      <c r="B600">
        <v>3</v>
      </c>
      <c r="C600" t="s">
        <v>11</v>
      </c>
      <c r="D600" t="s">
        <v>15</v>
      </c>
      <c r="E600" t="s">
        <v>53</v>
      </c>
      <c r="F600">
        <v>3823</v>
      </c>
      <c r="G600">
        <f>+YEAR(Tabla__192.168.1.8_POSEIDONSQL_APPFVT_01_SQLFacturasRendidas[[#This Row],[f_facturacion]])</f>
        <v>2018</v>
      </c>
      <c r="H60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600">
        <f>+IF(Tabla__192.168.1.8_POSEIDONSQL_APPFVT_01_SQLFacturasRendidas[[#This Row],[epc_nombre]]="RENDIDA",1,0)</f>
        <v>1</v>
      </c>
      <c r="J600">
        <f>+IF(Tabla__192.168.1.8_POSEIDONSQL_APPFVT_01_SQLFacturasRendidas[[#This Row],[usu_codigo]]="","",1)</f>
        <v>1</v>
      </c>
    </row>
    <row r="601" spans="1:10" x14ac:dyDescent="0.25">
      <c r="A601">
        <v>1</v>
      </c>
      <c r="B601">
        <v>3</v>
      </c>
      <c r="C601" t="s">
        <v>11</v>
      </c>
      <c r="D601" t="s">
        <v>15</v>
      </c>
      <c r="E601" t="s">
        <v>53</v>
      </c>
      <c r="F601">
        <v>3824</v>
      </c>
      <c r="G601">
        <f>+YEAR(Tabla__192.168.1.8_POSEIDONSQL_APPFVT_01_SQLFacturasRendidas[[#This Row],[f_facturacion]])</f>
        <v>2018</v>
      </c>
      <c r="H60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601">
        <f>+IF(Tabla__192.168.1.8_POSEIDONSQL_APPFVT_01_SQLFacturasRendidas[[#This Row],[epc_nombre]]="RENDIDA",1,0)</f>
        <v>1</v>
      </c>
      <c r="J601">
        <f>+IF(Tabla__192.168.1.8_POSEIDONSQL_APPFVT_01_SQLFacturasRendidas[[#This Row],[usu_codigo]]="","",1)</f>
        <v>1</v>
      </c>
    </row>
    <row r="602" spans="1:10" x14ac:dyDescent="0.25">
      <c r="A602">
        <v>1</v>
      </c>
      <c r="B602">
        <v>3</v>
      </c>
      <c r="C602" t="s">
        <v>11</v>
      </c>
      <c r="D602" t="s">
        <v>15</v>
      </c>
      <c r="E602" t="s">
        <v>53</v>
      </c>
      <c r="F602">
        <v>3825</v>
      </c>
      <c r="G602">
        <f>+YEAR(Tabla__192.168.1.8_POSEIDONSQL_APPFVT_01_SQLFacturasRendidas[[#This Row],[f_facturacion]])</f>
        <v>2018</v>
      </c>
      <c r="H60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602">
        <f>+IF(Tabla__192.168.1.8_POSEIDONSQL_APPFVT_01_SQLFacturasRendidas[[#This Row],[epc_nombre]]="RENDIDA",1,0)</f>
        <v>1</v>
      </c>
      <c r="J602">
        <f>+IF(Tabla__192.168.1.8_POSEIDONSQL_APPFVT_01_SQLFacturasRendidas[[#This Row],[usu_codigo]]="","",1)</f>
        <v>1</v>
      </c>
    </row>
    <row r="603" spans="1:10" x14ac:dyDescent="0.25">
      <c r="A603">
        <v>1</v>
      </c>
      <c r="B603">
        <v>3</v>
      </c>
      <c r="C603" t="s">
        <v>11</v>
      </c>
      <c r="D603" t="s">
        <v>15</v>
      </c>
      <c r="E603" t="s">
        <v>53</v>
      </c>
      <c r="F603">
        <v>3826</v>
      </c>
      <c r="G603">
        <f>+YEAR(Tabla__192.168.1.8_POSEIDONSQL_APPFVT_01_SQLFacturasRendidas[[#This Row],[f_facturacion]])</f>
        <v>2018</v>
      </c>
      <c r="H60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603">
        <f>+IF(Tabla__192.168.1.8_POSEIDONSQL_APPFVT_01_SQLFacturasRendidas[[#This Row],[epc_nombre]]="RENDIDA",1,0)</f>
        <v>1</v>
      </c>
      <c r="J603">
        <f>+IF(Tabla__192.168.1.8_POSEIDONSQL_APPFVT_01_SQLFacturasRendidas[[#This Row],[usu_codigo]]="","",1)</f>
        <v>1</v>
      </c>
    </row>
    <row r="604" spans="1:10" x14ac:dyDescent="0.25">
      <c r="A604">
        <v>1</v>
      </c>
      <c r="B604">
        <v>3</v>
      </c>
      <c r="C604" t="s">
        <v>11</v>
      </c>
      <c r="D604" t="s">
        <v>15</v>
      </c>
      <c r="E604" t="s">
        <v>53</v>
      </c>
      <c r="F604">
        <v>3827</v>
      </c>
      <c r="G604">
        <f>+YEAR(Tabla__192.168.1.8_POSEIDONSQL_APPFVT_01_SQLFacturasRendidas[[#This Row],[f_facturacion]])</f>
        <v>2018</v>
      </c>
      <c r="H60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604">
        <f>+IF(Tabla__192.168.1.8_POSEIDONSQL_APPFVT_01_SQLFacturasRendidas[[#This Row],[epc_nombre]]="RENDIDA",1,0)</f>
        <v>1</v>
      </c>
      <c r="J604">
        <f>+IF(Tabla__192.168.1.8_POSEIDONSQL_APPFVT_01_SQLFacturasRendidas[[#This Row],[usu_codigo]]="","",1)</f>
        <v>1</v>
      </c>
    </row>
    <row r="605" spans="1:10" x14ac:dyDescent="0.25">
      <c r="A605">
        <v>1</v>
      </c>
      <c r="B605">
        <v>3</v>
      </c>
      <c r="C605" t="s">
        <v>11</v>
      </c>
      <c r="D605" t="s">
        <v>15</v>
      </c>
      <c r="E605" t="s">
        <v>53</v>
      </c>
      <c r="F605">
        <v>3828</v>
      </c>
      <c r="G605">
        <f>+YEAR(Tabla__192.168.1.8_POSEIDONSQL_APPFVT_01_SQLFacturasRendidas[[#This Row],[f_facturacion]])</f>
        <v>2018</v>
      </c>
      <c r="H60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605">
        <f>+IF(Tabla__192.168.1.8_POSEIDONSQL_APPFVT_01_SQLFacturasRendidas[[#This Row],[epc_nombre]]="RENDIDA",1,0)</f>
        <v>1</v>
      </c>
      <c r="J605">
        <f>+IF(Tabla__192.168.1.8_POSEIDONSQL_APPFVT_01_SQLFacturasRendidas[[#This Row],[usu_codigo]]="","",1)</f>
        <v>1</v>
      </c>
    </row>
    <row r="606" spans="1:10" x14ac:dyDescent="0.25">
      <c r="A606">
        <v>1</v>
      </c>
      <c r="B606">
        <v>3</v>
      </c>
      <c r="C606" t="s">
        <v>11</v>
      </c>
      <c r="D606" t="s">
        <v>15</v>
      </c>
      <c r="E606" t="s">
        <v>53</v>
      </c>
      <c r="F606">
        <v>3832</v>
      </c>
      <c r="G606">
        <f>+YEAR(Tabla__192.168.1.8_POSEIDONSQL_APPFVT_01_SQLFacturasRendidas[[#This Row],[f_facturacion]])</f>
        <v>2018</v>
      </c>
      <c r="H60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606">
        <f>+IF(Tabla__192.168.1.8_POSEIDONSQL_APPFVT_01_SQLFacturasRendidas[[#This Row],[epc_nombre]]="RENDIDA",1,0)</f>
        <v>1</v>
      </c>
      <c r="J606">
        <f>+IF(Tabla__192.168.1.8_POSEIDONSQL_APPFVT_01_SQLFacturasRendidas[[#This Row],[usu_codigo]]="","",1)</f>
        <v>1</v>
      </c>
    </row>
    <row r="607" spans="1:10" x14ac:dyDescent="0.25">
      <c r="A607">
        <v>1</v>
      </c>
      <c r="B607">
        <v>3</v>
      </c>
      <c r="C607" t="s">
        <v>11</v>
      </c>
      <c r="D607" t="s">
        <v>15</v>
      </c>
      <c r="E607" t="s">
        <v>53</v>
      </c>
      <c r="F607">
        <v>3833</v>
      </c>
      <c r="G607">
        <f>+YEAR(Tabla__192.168.1.8_POSEIDONSQL_APPFVT_01_SQLFacturasRendidas[[#This Row],[f_facturacion]])</f>
        <v>2018</v>
      </c>
      <c r="H60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607">
        <f>+IF(Tabla__192.168.1.8_POSEIDONSQL_APPFVT_01_SQLFacturasRendidas[[#This Row],[epc_nombre]]="RENDIDA",1,0)</f>
        <v>1</v>
      </c>
      <c r="J607">
        <f>+IF(Tabla__192.168.1.8_POSEIDONSQL_APPFVT_01_SQLFacturasRendidas[[#This Row],[usu_codigo]]="","",1)</f>
        <v>1</v>
      </c>
    </row>
    <row r="608" spans="1:10" x14ac:dyDescent="0.25">
      <c r="A608">
        <v>1</v>
      </c>
      <c r="B608">
        <v>3</v>
      </c>
      <c r="C608" t="s">
        <v>11</v>
      </c>
      <c r="D608" t="s">
        <v>15</v>
      </c>
      <c r="E608" t="s">
        <v>53</v>
      </c>
      <c r="F608">
        <v>3834</v>
      </c>
      <c r="G608">
        <f>+YEAR(Tabla__192.168.1.8_POSEIDONSQL_APPFVT_01_SQLFacturasRendidas[[#This Row],[f_facturacion]])</f>
        <v>2018</v>
      </c>
      <c r="H60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608">
        <f>+IF(Tabla__192.168.1.8_POSEIDONSQL_APPFVT_01_SQLFacturasRendidas[[#This Row],[epc_nombre]]="RENDIDA",1,0)</f>
        <v>1</v>
      </c>
      <c r="J608">
        <f>+IF(Tabla__192.168.1.8_POSEIDONSQL_APPFVT_01_SQLFacturasRendidas[[#This Row],[usu_codigo]]="","",1)</f>
        <v>1</v>
      </c>
    </row>
    <row r="609" spans="1:10" x14ac:dyDescent="0.25">
      <c r="A609">
        <v>1</v>
      </c>
      <c r="B609">
        <v>3</v>
      </c>
      <c r="C609" t="s">
        <v>11</v>
      </c>
      <c r="D609" t="s">
        <v>15</v>
      </c>
      <c r="E609" t="s">
        <v>54</v>
      </c>
      <c r="F609">
        <v>3836</v>
      </c>
      <c r="G609">
        <f>+YEAR(Tabla__192.168.1.8_POSEIDONSQL_APPFVT_01_SQLFacturasRendidas[[#This Row],[f_facturacion]])</f>
        <v>2018</v>
      </c>
      <c r="H60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609">
        <f>+IF(Tabla__192.168.1.8_POSEIDONSQL_APPFVT_01_SQLFacturasRendidas[[#This Row],[epc_nombre]]="RENDIDA",1,0)</f>
        <v>1</v>
      </c>
      <c r="J609">
        <f>+IF(Tabla__192.168.1.8_POSEIDONSQL_APPFVT_01_SQLFacturasRendidas[[#This Row],[usu_codigo]]="","",1)</f>
        <v>1</v>
      </c>
    </row>
    <row r="610" spans="1:10" x14ac:dyDescent="0.25">
      <c r="A610">
        <v>1</v>
      </c>
      <c r="B610">
        <v>3</v>
      </c>
      <c r="C610" t="s">
        <v>11</v>
      </c>
      <c r="D610" t="s">
        <v>15</v>
      </c>
      <c r="E610" t="s">
        <v>54</v>
      </c>
      <c r="F610">
        <v>3837</v>
      </c>
      <c r="G610">
        <f>+YEAR(Tabla__192.168.1.8_POSEIDONSQL_APPFVT_01_SQLFacturasRendidas[[#This Row],[f_facturacion]])</f>
        <v>2018</v>
      </c>
      <c r="H61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610">
        <f>+IF(Tabla__192.168.1.8_POSEIDONSQL_APPFVT_01_SQLFacturasRendidas[[#This Row],[epc_nombre]]="RENDIDA",1,0)</f>
        <v>1</v>
      </c>
      <c r="J610">
        <f>+IF(Tabla__192.168.1.8_POSEIDONSQL_APPFVT_01_SQLFacturasRendidas[[#This Row],[usu_codigo]]="","",1)</f>
        <v>1</v>
      </c>
    </row>
    <row r="611" spans="1:10" x14ac:dyDescent="0.25">
      <c r="A611">
        <v>1</v>
      </c>
      <c r="B611">
        <v>3</v>
      </c>
      <c r="C611" t="s">
        <v>11</v>
      </c>
      <c r="D611" t="s">
        <v>15</v>
      </c>
      <c r="E611" t="s">
        <v>54</v>
      </c>
      <c r="F611">
        <v>3838</v>
      </c>
      <c r="G611">
        <f>+YEAR(Tabla__192.168.1.8_POSEIDONSQL_APPFVT_01_SQLFacturasRendidas[[#This Row],[f_facturacion]])</f>
        <v>2018</v>
      </c>
      <c r="H61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611">
        <f>+IF(Tabla__192.168.1.8_POSEIDONSQL_APPFVT_01_SQLFacturasRendidas[[#This Row],[epc_nombre]]="RENDIDA",1,0)</f>
        <v>1</v>
      </c>
      <c r="J611">
        <f>+IF(Tabla__192.168.1.8_POSEIDONSQL_APPFVT_01_SQLFacturasRendidas[[#This Row],[usu_codigo]]="","",1)</f>
        <v>1</v>
      </c>
    </row>
    <row r="612" spans="1:10" x14ac:dyDescent="0.25">
      <c r="A612">
        <v>1</v>
      </c>
      <c r="B612">
        <v>3</v>
      </c>
      <c r="C612" t="s">
        <v>11</v>
      </c>
      <c r="D612" t="s">
        <v>15</v>
      </c>
      <c r="E612" t="s">
        <v>54</v>
      </c>
      <c r="F612">
        <v>3839</v>
      </c>
      <c r="G612">
        <f>+YEAR(Tabla__192.168.1.8_POSEIDONSQL_APPFVT_01_SQLFacturasRendidas[[#This Row],[f_facturacion]])</f>
        <v>2018</v>
      </c>
      <c r="H61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612">
        <f>+IF(Tabla__192.168.1.8_POSEIDONSQL_APPFVT_01_SQLFacturasRendidas[[#This Row],[epc_nombre]]="RENDIDA",1,0)</f>
        <v>1</v>
      </c>
      <c r="J612">
        <f>+IF(Tabla__192.168.1.8_POSEIDONSQL_APPFVT_01_SQLFacturasRendidas[[#This Row],[usu_codigo]]="","",1)</f>
        <v>1</v>
      </c>
    </row>
    <row r="613" spans="1:10" x14ac:dyDescent="0.25">
      <c r="A613">
        <v>1</v>
      </c>
      <c r="B613">
        <v>3</v>
      </c>
      <c r="C613" t="s">
        <v>11</v>
      </c>
      <c r="D613" t="s">
        <v>15</v>
      </c>
      <c r="E613" t="s">
        <v>54</v>
      </c>
      <c r="F613">
        <v>3840</v>
      </c>
      <c r="G613">
        <f>+YEAR(Tabla__192.168.1.8_POSEIDONSQL_APPFVT_01_SQLFacturasRendidas[[#This Row],[f_facturacion]])</f>
        <v>2018</v>
      </c>
      <c r="H61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613">
        <f>+IF(Tabla__192.168.1.8_POSEIDONSQL_APPFVT_01_SQLFacturasRendidas[[#This Row],[epc_nombre]]="RENDIDA",1,0)</f>
        <v>1</v>
      </c>
      <c r="J613">
        <f>+IF(Tabla__192.168.1.8_POSEIDONSQL_APPFVT_01_SQLFacturasRendidas[[#This Row],[usu_codigo]]="","",1)</f>
        <v>1</v>
      </c>
    </row>
    <row r="614" spans="1:10" x14ac:dyDescent="0.25">
      <c r="A614">
        <v>1</v>
      </c>
      <c r="B614">
        <v>3</v>
      </c>
      <c r="C614" t="s">
        <v>11</v>
      </c>
      <c r="D614" t="s">
        <v>15</v>
      </c>
      <c r="E614" t="s">
        <v>54</v>
      </c>
      <c r="F614">
        <v>3841</v>
      </c>
      <c r="G614">
        <f>+YEAR(Tabla__192.168.1.8_POSEIDONSQL_APPFVT_01_SQLFacturasRendidas[[#This Row],[f_facturacion]])</f>
        <v>2018</v>
      </c>
      <c r="H61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614">
        <f>+IF(Tabla__192.168.1.8_POSEIDONSQL_APPFVT_01_SQLFacturasRendidas[[#This Row],[epc_nombre]]="RENDIDA",1,0)</f>
        <v>1</v>
      </c>
      <c r="J614">
        <f>+IF(Tabla__192.168.1.8_POSEIDONSQL_APPFVT_01_SQLFacturasRendidas[[#This Row],[usu_codigo]]="","",1)</f>
        <v>1</v>
      </c>
    </row>
    <row r="615" spans="1:10" x14ac:dyDescent="0.25">
      <c r="A615">
        <v>1</v>
      </c>
      <c r="B615">
        <v>3</v>
      </c>
      <c r="C615" t="s">
        <v>11</v>
      </c>
      <c r="D615" t="s">
        <v>15</v>
      </c>
      <c r="E615" t="s">
        <v>54</v>
      </c>
      <c r="F615">
        <v>3842</v>
      </c>
      <c r="G615">
        <f>+YEAR(Tabla__192.168.1.8_POSEIDONSQL_APPFVT_01_SQLFacturasRendidas[[#This Row],[f_facturacion]])</f>
        <v>2018</v>
      </c>
      <c r="H61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615">
        <f>+IF(Tabla__192.168.1.8_POSEIDONSQL_APPFVT_01_SQLFacturasRendidas[[#This Row],[epc_nombre]]="RENDIDA",1,0)</f>
        <v>1</v>
      </c>
      <c r="J615">
        <f>+IF(Tabla__192.168.1.8_POSEIDONSQL_APPFVT_01_SQLFacturasRendidas[[#This Row],[usu_codigo]]="","",1)</f>
        <v>1</v>
      </c>
    </row>
    <row r="616" spans="1:10" x14ac:dyDescent="0.25">
      <c r="A616">
        <v>1</v>
      </c>
      <c r="B616">
        <v>3</v>
      </c>
      <c r="C616" t="s">
        <v>11</v>
      </c>
      <c r="D616" t="s">
        <v>15</v>
      </c>
      <c r="E616" t="s">
        <v>54</v>
      </c>
      <c r="F616">
        <v>3843</v>
      </c>
      <c r="G616">
        <f>+YEAR(Tabla__192.168.1.8_POSEIDONSQL_APPFVT_01_SQLFacturasRendidas[[#This Row],[f_facturacion]])</f>
        <v>2018</v>
      </c>
      <c r="H61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616">
        <f>+IF(Tabla__192.168.1.8_POSEIDONSQL_APPFVT_01_SQLFacturasRendidas[[#This Row],[epc_nombre]]="RENDIDA",1,0)</f>
        <v>1</v>
      </c>
      <c r="J616">
        <f>+IF(Tabla__192.168.1.8_POSEIDONSQL_APPFVT_01_SQLFacturasRendidas[[#This Row],[usu_codigo]]="","",1)</f>
        <v>1</v>
      </c>
    </row>
    <row r="617" spans="1:10" x14ac:dyDescent="0.25">
      <c r="A617">
        <v>1</v>
      </c>
      <c r="B617">
        <v>3</v>
      </c>
      <c r="C617" t="s">
        <v>11</v>
      </c>
      <c r="D617" t="s">
        <v>15</v>
      </c>
      <c r="E617" t="s">
        <v>54</v>
      </c>
      <c r="F617">
        <v>3844</v>
      </c>
      <c r="G617">
        <f>+YEAR(Tabla__192.168.1.8_POSEIDONSQL_APPFVT_01_SQLFacturasRendidas[[#This Row],[f_facturacion]])</f>
        <v>2018</v>
      </c>
      <c r="H61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617">
        <f>+IF(Tabla__192.168.1.8_POSEIDONSQL_APPFVT_01_SQLFacturasRendidas[[#This Row],[epc_nombre]]="RENDIDA",1,0)</f>
        <v>1</v>
      </c>
      <c r="J617">
        <f>+IF(Tabla__192.168.1.8_POSEIDONSQL_APPFVT_01_SQLFacturasRendidas[[#This Row],[usu_codigo]]="","",1)</f>
        <v>1</v>
      </c>
    </row>
    <row r="618" spans="1:10" x14ac:dyDescent="0.25">
      <c r="A618">
        <v>1</v>
      </c>
      <c r="B618">
        <v>3</v>
      </c>
      <c r="C618" t="s">
        <v>11</v>
      </c>
      <c r="D618" t="s">
        <v>15</v>
      </c>
      <c r="E618" t="s">
        <v>54</v>
      </c>
      <c r="F618">
        <v>3845</v>
      </c>
      <c r="G618">
        <f>+YEAR(Tabla__192.168.1.8_POSEIDONSQL_APPFVT_01_SQLFacturasRendidas[[#This Row],[f_facturacion]])</f>
        <v>2018</v>
      </c>
      <c r="H61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618">
        <f>+IF(Tabla__192.168.1.8_POSEIDONSQL_APPFVT_01_SQLFacturasRendidas[[#This Row],[epc_nombre]]="RENDIDA",1,0)</f>
        <v>1</v>
      </c>
      <c r="J618">
        <f>+IF(Tabla__192.168.1.8_POSEIDONSQL_APPFVT_01_SQLFacturasRendidas[[#This Row],[usu_codigo]]="","",1)</f>
        <v>1</v>
      </c>
    </row>
    <row r="619" spans="1:10" x14ac:dyDescent="0.25">
      <c r="A619">
        <v>1</v>
      </c>
      <c r="B619">
        <v>3</v>
      </c>
      <c r="C619" t="s">
        <v>11</v>
      </c>
      <c r="D619" t="s">
        <v>15</v>
      </c>
      <c r="E619" t="s">
        <v>54</v>
      </c>
      <c r="F619">
        <v>3846</v>
      </c>
      <c r="G619">
        <f>+YEAR(Tabla__192.168.1.8_POSEIDONSQL_APPFVT_01_SQLFacturasRendidas[[#This Row],[f_facturacion]])</f>
        <v>2018</v>
      </c>
      <c r="H61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619">
        <f>+IF(Tabla__192.168.1.8_POSEIDONSQL_APPFVT_01_SQLFacturasRendidas[[#This Row],[epc_nombre]]="RENDIDA",1,0)</f>
        <v>1</v>
      </c>
      <c r="J619">
        <f>+IF(Tabla__192.168.1.8_POSEIDONSQL_APPFVT_01_SQLFacturasRendidas[[#This Row],[usu_codigo]]="","",1)</f>
        <v>1</v>
      </c>
    </row>
    <row r="620" spans="1:10" x14ac:dyDescent="0.25">
      <c r="A620">
        <v>1</v>
      </c>
      <c r="B620">
        <v>3</v>
      </c>
      <c r="C620" t="s">
        <v>11</v>
      </c>
      <c r="D620" t="s">
        <v>15</v>
      </c>
      <c r="E620" t="s">
        <v>54</v>
      </c>
      <c r="F620">
        <v>3847</v>
      </c>
      <c r="G620">
        <f>+YEAR(Tabla__192.168.1.8_POSEIDONSQL_APPFVT_01_SQLFacturasRendidas[[#This Row],[f_facturacion]])</f>
        <v>2018</v>
      </c>
      <c r="H62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620">
        <f>+IF(Tabla__192.168.1.8_POSEIDONSQL_APPFVT_01_SQLFacturasRendidas[[#This Row],[epc_nombre]]="RENDIDA",1,0)</f>
        <v>1</v>
      </c>
      <c r="J620">
        <f>+IF(Tabla__192.168.1.8_POSEIDONSQL_APPFVT_01_SQLFacturasRendidas[[#This Row],[usu_codigo]]="","",1)</f>
        <v>1</v>
      </c>
    </row>
    <row r="621" spans="1:10" x14ac:dyDescent="0.25">
      <c r="A621">
        <v>1</v>
      </c>
      <c r="B621">
        <v>3</v>
      </c>
      <c r="C621" t="s">
        <v>11</v>
      </c>
      <c r="D621" t="s">
        <v>15</v>
      </c>
      <c r="E621" t="s">
        <v>54</v>
      </c>
      <c r="F621">
        <v>3848</v>
      </c>
      <c r="G621">
        <f>+YEAR(Tabla__192.168.1.8_POSEIDONSQL_APPFVT_01_SQLFacturasRendidas[[#This Row],[f_facturacion]])</f>
        <v>2018</v>
      </c>
      <c r="H62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621">
        <f>+IF(Tabla__192.168.1.8_POSEIDONSQL_APPFVT_01_SQLFacturasRendidas[[#This Row],[epc_nombre]]="RENDIDA",1,0)</f>
        <v>1</v>
      </c>
      <c r="J621">
        <f>+IF(Tabla__192.168.1.8_POSEIDONSQL_APPFVT_01_SQLFacturasRendidas[[#This Row],[usu_codigo]]="","",1)</f>
        <v>1</v>
      </c>
    </row>
    <row r="622" spans="1:10" x14ac:dyDescent="0.25">
      <c r="A622">
        <v>1</v>
      </c>
      <c r="B622">
        <v>3</v>
      </c>
      <c r="C622" t="s">
        <v>11</v>
      </c>
      <c r="D622" t="s">
        <v>15</v>
      </c>
      <c r="E622" t="s">
        <v>54</v>
      </c>
      <c r="F622">
        <v>3849</v>
      </c>
      <c r="G622">
        <f>+YEAR(Tabla__192.168.1.8_POSEIDONSQL_APPFVT_01_SQLFacturasRendidas[[#This Row],[f_facturacion]])</f>
        <v>2018</v>
      </c>
      <c r="H62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622">
        <f>+IF(Tabla__192.168.1.8_POSEIDONSQL_APPFVT_01_SQLFacturasRendidas[[#This Row],[epc_nombre]]="RENDIDA",1,0)</f>
        <v>1</v>
      </c>
      <c r="J622">
        <f>+IF(Tabla__192.168.1.8_POSEIDONSQL_APPFVT_01_SQLFacturasRendidas[[#This Row],[usu_codigo]]="","",1)</f>
        <v>1</v>
      </c>
    </row>
    <row r="623" spans="1:10" x14ac:dyDescent="0.25">
      <c r="A623">
        <v>1</v>
      </c>
      <c r="B623">
        <v>3</v>
      </c>
      <c r="C623" t="s">
        <v>11</v>
      </c>
      <c r="D623" t="s">
        <v>15</v>
      </c>
      <c r="E623" t="s">
        <v>54</v>
      </c>
      <c r="F623">
        <v>3850</v>
      </c>
      <c r="G623">
        <f>+YEAR(Tabla__192.168.1.8_POSEIDONSQL_APPFVT_01_SQLFacturasRendidas[[#This Row],[f_facturacion]])</f>
        <v>2018</v>
      </c>
      <c r="H62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623">
        <f>+IF(Tabla__192.168.1.8_POSEIDONSQL_APPFVT_01_SQLFacturasRendidas[[#This Row],[epc_nombre]]="RENDIDA",1,0)</f>
        <v>1</v>
      </c>
      <c r="J623">
        <f>+IF(Tabla__192.168.1.8_POSEIDONSQL_APPFVT_01_SQLFacturasRendidas[[#This Row],[usu_codigo]]="","",1)</f>
        <v>1</v>
      </c>
    </row>
    <row r="624" spans="1:10" x14ac:dyDescent="0.25">
      <c r="A624">
        <v>1</v>
      </c>
      <c r="B624">
        <v>3</v>
      </c>
      <c r="C624" t="s">
        <v>11</v>
      </c>
      <c r="D624" t="s">
        <v>15</v>
      </c>
      <c r="E624" t="s">
        <v>54</v>
      </c>
      <c r="F624">
        <v>3851</v>
      </c>
      <c r="G624">
        <f>+YEAR(Tabla__192.168.1.8_POSEIDONSQL_APPFVT_01_SQLFacturasRendidas[[#This Row],[f_facturacion]])</f>
        <v>2018</v>
      </c>
      <c r="H62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624">
        <f>+IF(Tabla__192.168.1.8_POSEIDONSQL_APPFVT_01_SQLFacturasRendidas[[#This Row],[epc_nombre]]="RENDIDA",1,0)</f>
        <v>1</v>
      </c>
      <c r="J624">
        <f>+IF(Tabla__192.168.1.8_POSEIDONSQL_APPFVT_01_SQLFacturasRendidas[[#This Row],[usu_codigo]]="","",1)</f>
        <v>1</v>
      </c>
    </row>
    <row r="625" spans="1:10" x14ac:dyDescent="0.25">
      <c r="A625">
        <v>1</v>
      </c>
      <c r="B625">
        <v>3</v>
      </c>
      <c r="C625" t="s">
        <v>11</v>
      </c>
      <c r="D625" t="s">
        <v>15</v>
      </c>
      <c r="E625" t="s">
        <v>54</v>
      </c>
      <c r="F625">
        <v>3852</v>
      </c>
      <c r="G625">
        <f>+YEAR(Tabla__192.168.1.8_POSEIDONSQL_APPFVT_01_SQLFacturasRendidas[[#This Row],[f_facturacion]])</f>
        <v>2018</v>
      </c>
      <c r="H62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625">
        <f>+IF(Tabla__192.168.1.8_POSEIDONSQL_APPFVT_01_SQLFacturasRendidas[[#This Row],[epc_nombre]]="RENDIDA",1,0)</f>
        <v>1</v>
      </c>
      <c r="J625">
        <f>+IF(Tabla__192.168.1.8_POSEIDONSQL_APPFVT_01_SQLFacturasRendidas[[#This Row],[usu_codigo]]="","",1)</f>
        <v>1</v>
      </c>
    </row>
    <row r="626" spans="1:10" x14ac:dyDescent="0.25">
      <c r="A626">
        <v>1</v>
      </c>
      <c r="B626">
        <v>3</v>
      </c>
      <c r="C626" t="s">
        <v>11</v>
      </c>
      <c r="D626" t="s">
        <v>15</v>
      </c>
      <c r="E626" t="s">
        <v>54</v>
      </c>
      <c r="F626">
        <v>3853</v>
      </c>
      <c r="G626">
        <f>+YEAR(Tabla__192.168.1.8_POSEIDONSQL_APPFVT_01_SQLFacturasRendidas[[#This Row],[f_facturacion]])</f>
        <v>2018</v>
      </c>
      <c r="H62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626">
        <f>+IF(Tabla__192.168.1.8_POSEIDONSQL_APPFVT_01_SQLFacturasRendidas[[#This Row],[epc_nombre]]="RENDIDA",1,0)</f>
        <v>1</v>
      </c>
      <c r="J626">
        <f>+IF(Tabla__192.168.1.8_POSEIDONSQL_APPFVT_01_SQLFacturasRendidas[[#This Row],[usu_codigo]]="","",1)</f>
        <v>1</v>
      </c>
    </row>
    <row r="627" spans="1:10" x14ac:dyDescent="0.25">
      <c r="A627">
        <v>1</v>
      </c>
      <c r="B627">
        <v>3</v>
      </c>
      <c r="C627" t="s">
        <v>11</v>
      </c>
      <c r="D627" t="s">
        <v>15</v>
      </c>
      <c r="E627" t="s">
        <v>54</v>
      </c>
      <c r="F627">
        <v>3854</v>
      </c>
      <c r="G627">
        <f>+YEAR(Tabla__192.168.1.8_POSEIDONSQL_APPFVT_01_SQLFacturasRendidas[[#This Row],[f_facturacion]])</f>
        <v>2018</v>
      </c>
      <c r="H62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627">
        <f>+IF(Tabla__192.168.1.8_POSEIDONSQL_APPFVT_01_SQLFacturasRendidas[[#This Row],[epc_nombre]]="RENDIDA",1,0)</f>
        <v>1</v>
      </c>
      <c r="J627">
        <f>+IF(Tabla__192.168.1.8_POSEIDONSQL_APPFVT_01_SQLFacturasRendidas[[#This Row],[usu_codigo]]="","",1)</f>
        <v>1</v>
      </c>
    </row>
    <row r="628" spans="1:10" x14ac:dyDescent="0.25">
      <c r="A628">
        <v>1</v>
      </c>
      <c r="B628">
        <v>3</v>
      </c>
      <c r="C628" t="s">
        <v>11</v>
      </c>
      <c r="D628" t="s">
        <v>15</v>
      </c>
      <c r="E628" t="s">
        <v>54</v>
      </c>
      <c r="F628">
        <v>3855</v>
      </c>
      <c r="G628">
        <f>+YEAR(Tabla__192.168.1.8_POSEIDONSQL_APPFVT_01_SQLFacturasRendidas[[#This Row],[f_facturacion]])</f>
        <v>2018</v>
      </c>
      <c r="H62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628">
        <f>+IF(Tabla__192.168.1.8_POSEIDONSQL_APPFVT_01_SQLFacturasRendidas[[#This Row],[epc_nombre]]="RENDIDA",1,0)</f>
        <v>1</v>
      </c>
      <c r="J628">
        <f>+IF(Tabla__192.168.1.8_POSEIDONSQL_APPFVT_01_SQLFacturasRendidas[[#This Row],[usu_codigo]]="","",1)</f>
        <v>1</v>
      </c>
    </row>
    <row r="629" spans="1:10" x14ac:dyDescent="0.25">
      <c r="A629">
        <v>1</v>
      </c>
      <c r="B629">
        <v>3</v>
      </c>
      <c r="C629" t="s">
        <v>11</v>
      </c>
      <c r="D629" t="s">
        <v>15</v>
      </c>
      <c r="E629" t="s">
        <v>54</v>
      </c>
      <c r="F629">
        <v>3856</v>
      </c>
      <c r="G629">
        <f>+YEAR(Tabla__192.168.1.8_POSEIDONSQL_APPFVT_01_SQLFacturasRendidas[[#This Row],[f_facturacion]])</f>
        <v>2018</v>
      </c>
      <c r="H62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629">
        <f>+IF(Tabla__192.168.1.8_POSEIDONSQL_APPFVT_01_SQLFacturasRendidas[[#This Row],[epc_nombre]]="RENDIDA",1,0)</f>
        <v>1</v>
      </c>
      <c r="J629">
        <f>+IF(Tabla__192.168.1.8_POSEIDONSQL_APPFVT_01_SQLFacturasRendidas[[#This Row],[usu_codigo]]="","",1)</f>
        <v>1</v>
      </c>
    </row>
    <row r="630" spans="1:10" x14ac:dyDescent="0.25">
      <c r="A630">
        <v>1</v>
      </c>
      <c r="B630">
        <v>3</v>
      </c>
      <c r="C630" t="s">
        <v>11</v>
      </c>
      <c r="D630" t="s">
        <v>15</v>
      </c>
      <c r="E630" t="s">
        <v>54</v>
      </c>
      <c r="F630">
        <v>3857</v>
      </c>
      <c r="G630">
        <f>+YEAR(Tabla__192.168.1.8_POSEIDONSQL_APPFVT_01_SQLFacturasRendidas[[#This Row],[f_facturacion]])</f>
        <v>2018</v>
      </c>
      <c r="H63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630">
        <f>+IF(Tabla__192.168.1.8_POSEIDONSQL_APPFVT_01_SQLFacturasRendidas[[#This Row],[epc_nombre]]="RENDIDA",1,0)</f>
        <v>1</v>
      </c>
      <c r="J630">
        <f>+IF(Tabla__192.168.1.8_POSEIDONSQL_APPFVT_01_SQLFacturasRendidas[[#This Row],[usu_codigo]]="","",1)</f>
        <v>1</v>
      </c>
    </row>
    <row r="631" spans="1:10" x14ac:dyDescent="0.25">
      <c r="A631">
        <v>1</v>
      </c>
      <c r="B631">
        <v>3</v>
      </c>
      <c r="C631" t="s">
        <v>11</v>
      </c>
      <c r="D631" t="s">
        <v>15</v>
      </c>
      <c r="E631" t="s">
        <v>54</v>
      </c>
      <c r="F631">
        <v>3858</v>
      </c>
      <c r="G631">
        <f>+YEAR(Tabla__192.168.1.8_POSEIDONSQL_APPFVT_01_SQLFacturasRendidas[[#This Row],[f_facturacion]])</f>
        <v>2018</v>
      </c>
      <c r="H63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631">
        <f>+IF(Tabla__192.168.1.8_POSEIDONSQL_APPFVT_01_SQLFacturasRendidas[[#This Row],[epc_nombre]]="RENDIDA",1,0)</f>
        <v>1</v>
      </c>
      <c r="J631">
        <f>+IF(Tabla__192.168.1.8_POSEIDONSQL_APPFVT_01_SQLFacturasRendidas[[#This Row],[usu_codigo]]="","",1)</f>
        <v>1</v>
      </c>
    </row>
    <row r="632" spans="1:10" x14ac:dyDescent="0.25">
      <c r="A632">
        <v>1</v>
      </c>
      <c r="B632">
        <v>3</v>
      </c>
      <c r="C632" t="s">
        <v>11</v>
      </c>
      <c r="D632" t="s">
        <v>15</v>
      </c>
      <c r="E632" t="s">
        <v>54</v>
      </c>
      <c r="F632">
        <v>3859</v>
      </c>
      <c r="G632">
        <f>+YEAR(Tabla__192.168.1.8_POSEIDONSQL_APPFVT_01_SQLFacturasRendidas[[#This Row],[f_facturacion]])</f>
        <v>2018</v>
      </c>
      <c r="H63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632">
        <f>+IF(Tabla__192.168.1.8_POSEIDONSQL_APPFVT_01_SQLFacturasRendidas[[#This Row],[epc_nombre]]="RENDIDA",1,0)</f>
        <v>1</v>
      </c>
      <c r="J632">
        <f>+IF(Tabla__192.168.1.8_POSEIDONSQL_APPFVT_01_SQLFacturasRendidas[[#This Row],[usu_codigo]]="","",1)</f>
        <v>1</v>
      </c>
    </row>
    <row r="633" spans="1:10" x14ac:dyDescent="0.25">
      <c r="A633">
        <v>1</v>
      </c>
      <c r="B633">
        <v>3</v>
      </c>
      <c r="C633" t="s">
        <v>11</v>
      </c>
      <c r="D633" t="s">
        <v>15</v>
      </c>
      <c r="E633" t="s">
        <v>54</v>
      </c>
      <c r="F633">
        <v>3860</v>
      </c>
      <c r="G633">
        <f>+YEAR(Tabla__192.168.1.8_POSEIDONSQL_APPFVT_01_SQLFacturasRendidas[[#This Row],[f_facturacion]])</f>
        <v>2018</v>
      </c>
      <c r="H63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633">
        <f>+IF(Tabla__192.168.1.8_POSEIDONSQL_APPFVT_01_SQLFacturasRendidas[[#This Row],[epc_nombre]]="RENDIDA",1,0)</f>
        <v>1</v>
      </c>
      <c r="J633">
        <f>+IF(Tabla__192.168.1.8_POSEIDONSQL_APPFVT_01_SQLFacturasRendidas[[#This Row],[usu_codigo]]="","",1)</f>
        <v>1</v>
      </c>
    </row>
    <row r="634" spans="1:10" x14ac:dyDescent="0.25">
      <c r="A634">
        <v>1</v>
      </c>
      <c r="B634">
        <v>3</v>
      </c>
      <c r="C634" t="s">
        <v>11</v>
      </c>
      <c r="D634" t="s">
        <v>15</v>
      </c>
      <c r="E634" t="s">
        <v>54</v>
      </c>
      <c r="F634">
        <v>3861</v>
      </c>
      <c r="G634">
        <f>+YEAR(Tabla__192.168.1.8_POSEIDONSQL_APPFVT_01_SQLFacturasRendidas[[#This Row],[f_facturacion]])</f>
        <v>2018</v>
      </c>
      <c r="H63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634">
        <f>+IF(Tabla__192.168.1.8_POSEIDONSQL_APPFVT_01_SQLFacturasRendidas[[#This Row],[epc_nombre]]="RENDIDA",1,0)</f>
        <v>1</v>
      </c>
      <c r="J634">
        <f>+IF(Tabla__192.168.1.8_POSEIDONSQL_APPFVT_01_SQLFacturasRendidas[[#This Row],[usu_codigo]]="","",1)</f>
        <v>1</v>
      </c>
    </row>
    <row r="635" spans="1:10" x14ac:dyDescent="0.25">
      <c r="A635">
        <v>1</v>
      </c>
      <c r="B635">
        <v>3</v>
      </c>
      <c r="C635" t="s">
        <v>11</v>
      </c>
      <c r="D635" t="s">
        <v>15</v>
      </c>
      <c r="E635" t="s">
        <v>54</v>
      </c>
      <c r="F635">
        <v>3862</v>
      </c>
      <c r="G635">
        <f>+YEAR(Tabla__192.168.1.8_POSEIDONSQL_APPFVT_01_SQLFacturasRendidas[[#This Row],[f_facturacion]])</f>
        <v>2018</v>
      </c>
      <c r="H63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635">
        <f>+IF(Tabla__192.168.1.8_POSEIDONSQL_APPFVT_01_SQLFacturasRendidas[[#This Row],[epc_nombre]]="RENDIDA",1,0)</f>
        <v>1</v>
      </c>
      <c r="J635">
        <f>+IF(Tabla__192.168.1.8_POSEIDONSQL_APPFVT_01_SQLFacturasRendidas[[#This Row],[usu_codigo]]="","",1)</f>
        <v>1</v>
      </c>
    </row>
    <row r="636" spans="1:10" x14ac:dyDescent="0.25">
      <c r="A636">
        <v>1</v>
      </c>
      <c r="B636">
        <v>3</v>
      </c>
      <c r="C636" t="s">
        <v>11</v>
      </c>
      <c r="D636" t="s">
        <v>15</v>
      </c>
      <c r="E636" t="s">
        <v>54</v>
      </c>
      <c r="F636">
        <v>3863</v>
      </c>
      <c r="G636">
        <f>+YEAR(Tabla__192.168.1.8_POSEIDONSQL_APPFVT_01_SQLFacturasRendidas[[#This Row],[f_facturacion]])</f>
        <v>2018</v>
      </c>
      <c r="H63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636">
        <f>+IF(Tabla__192.168.1.8_POSEIDONSQL_APPFVT_01_SQLFacturasRendidas[[#This Row],[epc_nombre]]="RENDIDA",1,0)</f>
        <v>1</v>
      </c>
      <c r="J636">
        <f>+IF(Tabla__192.168.1.8_POSEIDONSQL_APPFVT_01_SQLFacturasRendidas[[#This Row],[usu_codigo]]="","",1)</f>
        <v>1</v>
      </c>
    </row>
    <row r="637" spans="1:10" x14ac:dyDescent="0.25">
      <c r="A637">
        <v>1</v>
      </c>
      <c r="B637">
        <v>3</v>
      </c>
      <c r="C637" t="s">
        <v>11</v>
      </c>
      <c r="D637" t="s">
        <v>15</v>
      </c>
      <c r="E637" t="s">
        <v>54</v>
      </c>
      <c r="F637">
        <v>3864</v>
      </c>
      <c r="G637">
        <f>+YEAR(Tabla__192.168.1.8_POSEIDONSQL_APPFVT_01_SQLFacturasRendidas[[#This Row],[f_facturacion]])</f>
        <v>2018</v>
      </c>
      <c r="H63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637">
        <f>+IF(Tabla__192.168.1.8_POSEIDONSQL_APPFVT_01_SQLFacturasRendidas[[#This Row],[epc_nombre]]="RENDIDA",1,0)</f>
        <v>1</v>
      </c>
      <c r="J637">
        <f>+IF(Tabla__192.168.1.8_POSEIDONSQL_APPFVT_01_SQLFacturasRendidas[[#This Row],[usu_codigo]]="","",1)</f>
        <v>1</v>
      </c>
    </row>
    <row r="638" spans="1:10" x14ac:dyDescent="0.25">
      <c r="A638">
        <v>1</v>
      </c>
      <c r="B638">
        <v>3</v>
      </c>
      <c r="C638" t="s">
        <v>11</v>
      </c>
      <c r="D638" t="s">
        <v>15</v>
      </c>
      <c r="E638" t="s">
        <v>54</v>
      </c>
      <c r="F638">
        <v>3865</v>
      </c>
      <c r="G638">
        <f>+YEAR(Tabla__192.168.1.8_POSEIDONSQL_APPFVT_01_SQLFacturasRendidas[[#This Row],[f_facturacion]])</f>
        <v>2018</v>
      </c>
      <c r="H63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638">
        <f>+IF(Tabla__192.168.1.8_POSEIDONSQL_APPFVT_01_SQLFacturasRendidas[[#This Row],[epc_nombre]]="RENDIDA",1,0)</f>
        <v>1</v>
      </c>
      <c r="J638">
        <f>+IF(Tabla__192.168.1.8_POSEIDONSQL_APPFVT_01_SQLFacturasRendidas[[#This Row],[usu_codigo]]="","",1)</f>
        <v>1</v>
      </c>
    </row>
    <row r="639" spans="1:10" x14ac:dyDescent="0.25">
      <c r="A639">
        <v>1</v>
      </c>
      <c r="B639">
        <v>3</v>
      </c>
      <c r="C639" t="s">
        <v>11</v>
      </c>
      <c r="D639" t="s">
        <v>15</v>
      </c>
      <c r="E639" t="s">
        <v>56</v>
      </c>
      <c r="F639">
        <v>3975</v>
      </c>
      <c r="G639">
        <f>+YEAR(Tabla__192.168.1.8_POSEIDONSQL_APPFVT_01_SQLFacturasRendidas[[#This Row],[f_facturacion]])</f>
        <v>2018</v>
      </c>
      <c r="H63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639">
        <f>+IF(Tabla__192.168.1.8_POSEIDONSQL_APPFVT_01_SQLFacturasRendidas[[#This Row],[epc_nombre]]="RENDIDA",1,0)</f>
        <v>1</v>
      </c>
      <c r="J639">
        <f>+IF(Tabla__192.168.1.8_POSEIDONSQL_APPFVT_01_SQLFacturasRendidas[[#This Row],[usu_codigo]]="","",1)</f>
        <v>1</v>
      </c>
    </row>
    <row r="640" spans="1:10" x14ac:dyDescent="0.25">
      <c r="A640">
        <v>1</v>
      </c>
      <c r="B640">
        <v>3</v>
      </c>
      <c r="C640" t="s">
        <v>11</v>
      </c>
      <c r="D640" t="s">
        <v>15</v>
      </c>
      <c r="E640" t="s">
        <v>56</v>
      </c>
      <c r="F640">
        <v>3976</v>
      </c>
      <c r="G640">
        <f>+YEAR(Tabla__192.168.1.8_POSEIDONSQL_APPFVT_01_SQLFacturasRendidas[[#This Row],[f_facturacion]])</f>
        <v>2018</v>
      </c>
      <c r="H64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640">
        <f>+IF(Tabla__192.168.1.8_POSEIDONSQL_APPFVT_01_SQLFacturasRendidas[[#This Row],[epc_nombre]]="RENDIDA",1,0)</f>
        <v>1</v>
      </c>
      <c r="J640">
        <f>+IF(Tabla__192.168.1.8_POSEIDONSQL_APPFVT_01_SQLFacturasRendidas[[#This Row],[usu_codigo]]="","",1)</f>
        <v>1</v>
      </c>
    </row>
    <row r="641" spans="1:10" x14ac:dyDescent="0.25">
      <c r="A641">
        <v>1</v>
      </c>
      <c r="B641">
        <v>3</v>
      </c>
      <c r="C641" t="s">
        <v>11</v>
      </c>
      <c r="D641" t="s">
        <v>15</v>
      </c>
      <c r="E641" t="s">
        <v>56</v>
      </c>
      <c r="F641">
        <v>3977</v>
      </c>
      <c r="G641">
        <f>+YEAR(Tabla__192.168.1.8_POSEIDONSQL_APPFVT_01_SQLFacturasRendidas[[#This Row],[f_facturacion]])</f>
        <v>2018</v>
      </c>
      <c r="H64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641">
        <f>+IF(Tabla__192.168.1.8_POSEIDONSQL_APPFVT_01_SQLFacturasRendidas[[#This Row],[epc_nombre]]="RENDIDA",1,0)</f>
        <v>1</v>
      </c>
      <c r="J641">
        <f>+IF(Tabla__192.168.1.8_POSEIDONSQL_APPFVT_01_SQLFacturasRendidas[[#This Row],[usu_codigo]]="","",1)</f>
        <v>1</v>
      </c>
    </row>
    <row r="642" spans="1:10" x14ac:dyDescent="0.25">
      <c r="A642">
        <v>1</v>
      </c>
      <c r="B642">
        <v>3</v>
      </c>
      <c r="C642" t="s">
        <v>11</v>
      </c>
      <c r="D642" t="s">
        <v>15</v>
      </c>
      <c r="E642" t="s">
        <v>56</v>
      </c>
      <c r="F642">
        <v>3978</v>
      </c>
      <c r="G642">
        <f>+YEAR(Tabla__192.168.1.8_POSEIDONSQL_APPFVT_01_SQLFacturasRendidas[[#This Row],[f_facturacion]])</f>
        <v>2018</v>
      </c>
      <c r="H64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642">
        <f>+IF(Tabla__192.168.1.8_POSEIDONSQL_APPFVT_01_SQLFacturasRendidas[[#This Row],[epc_nombre]]="RENDIDA",1,0)</f>
        <v>1</v>
      </c>
      <c r="J642">
        <f>+IF(Tabla__192.168.1.8_POSEIDONSQL_APPFVT_01_SQLFacturasRendidas[[#This Row],[usu_codigo]]="","",1)</f>
        <v>1</v>
      </c>
    </row>
    <row r="643" spans="1:10" x14ac:dyDescent="0.25">
      <c r="A643">
        <v>1</v>
      </c>
      <c r="B643">
        <v>3</v>
      </c>
      <c r="C643" t="s">
        <v>11</v>
      </c>
      <c r="D643" t="s">
        <v>15</v>
      </c>
      <c r="E643" t="s">
        <v>56</v>
      </c>
      <c r="F643">
        <v>3979</v>
      </c>
      <c r="G643">
        <f>+YEAR(Tabla__192.168.1.8_POSEIDONSQL_APPFVT_01_SQLFacturasRendidas[[#This Row],[f_facturacion]])</f>
        <v>2018</v>
      </c>
      <c r="H64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643">
        <f>+IF(Tabla__192.168.1.8_POSEIDONSQL_APPFVT_01_SQLFacturasRendidas[[#This Row],[epc_nombre]]="RENDIDA",1,0)</f>
        <v>1</v>
      </c>
      <c r="J643">
        <f>+IF(Tabla__192.168.1.8_POSEIDONSQL_APPFVT_01_SQLFacturasRendidas[[#This Row],[usu_codigo]]="","",1)</f>
        <v>1</v>
      </c>
    </row>
    <row r="644" spans="1:10" x14ac:dyDescent="0.25">
      <c r="A644">
        <v>1</v>
      </c>
      <c r="B644">
        <v>3</v>
      </c>
      <c r="C644" t="s">
        <v>11</v>
      </c>
      <c r="D644" t="s">
        <v>15</v>
      </c>
      <c r="E644" t="s">
        <v>35</v>
      </c>
      <c r="F644">
        <v>3982</v>
      </c>
      <c r="G644">
        <f>+YEAR(Tabla__192.168.1.8_POSEIDONSQL_APPFVT_01_SQLFacturasRendidas[[#This Row],[f_facturacion]])</f>
        <v>2018</v>
      </c>
      <c r="H64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644">
        <f>+IF(Tabla__192.168.1.8_POSEIDONSQL_APPFVT_01_SQLFacturasRendidas[[#This Row],[epc_nombre]]="RENDIDA",1,0)</f>
        <v>1</v>
      </c>
      <c r="J644">
        <f>+IF(Tabla__192.168.1.8_POSEIDONSQL_APPFVT_01_SQLFacturasRendidas[[#This Row],[usu_codigo]]="","",1)</f>
        <v>1</v>
      </c>
    </row>
    <row r="645" spans="1:10" x14ac:dyDescent="0.25">
      <c r="A645">
        <v>1</v>
      </c>
      <c r="B645">
        <v>3</v>
      </c>
      <c r="C645" t="s">
        <v>11</v>
      </c>
      <c r="D645" t="s">
        <v>15</v>
      </c>
      <c r="E645" t="s">
        <v>35</v>
      </c>
      <c r="F645">
        <v>3983</v>
      </c>
      <c r="G645">
        <f>+YEAR(Tabla__192.168.1.8_POSEIDONSQL_APPFVT_01_SQLFacturasRendidas[[#This Row],[f_facturacion]])</f>
        <v>2018</v>
      </c>
      <c r="H64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645">
        <f>+IF(Tabla__192.168.1.8_POSEIDONSQL_APPFVT_01_SQLFacturasRendidas[[#This Row],[epc_nombre]]="RENDIDA",1,0)</f>
        <v>1</v>
      </c>
      <c r="J645">
        <f>+IF(Tabla__192.168.1.8_POSEIDONSQL_APPFVT_01_SQLFacturasRendidas[[#This Row],[usu_codigo]]="","",1)</f>
        <v>1</v>
      </c>
    </row>
    <row r="646" spans="1:10" x14ac:dyDescent="0.25">
      <c r="A646">
        <v>1</v>
      </c>
      <c r="B646">
        <v>3</v>
      </c>
      <c r="C646" t="s">
        <v>11</v>
      </c>
      <c r="D646" t="s">
        <v>15</v>
      </c>
      <c r="E646" t="s">
        <v>35</v>
      </c>
      <c r="F646">
        <v>3984</v>
      </c>
      <c r="G646">
        <f>+YEAR(Tabla__192.168.1.8_POSEIDONSQL_APPFVT_01_SQLFacturasRendidas[[#This Row],[f_facturacion]])</f>
        <v>2018</v>
      </c>
      <c r="H64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646">
        <f>+IF(Tabla__192.168.1.8_POSEIDONSQL_APPFVT_01_SQLFacturasRendidas[[#This Row],[epc_nombre]]="RENDIDA",1,0)</f>
        <v>1</v>
      </c>
      <c r="J646">
        <f>+IF(Tabla__192.168.1.8_POSEIDONSQL_APPFVT_01_SQLFacturasRendidas[[#This Row],[usu_codigo]]="","",1)</f>
        <v>1</v>
      </c>
    </row>
    <row r="647" spans="1:10" x14ac:dyDescent="0.25">
      <c r="A647">
        <v>1</v>
      </c>
      <c r="B647">
        <v>3</v>
      </c>
      <c r="C647" t="s">
        <v>11</v>
      </c>
      <c r="D647" t="s">
        <v>15</v>
      </c>
      <c r="E647" t="s">
        <v>35</v>
      </c>
      <c r="F647">
        <v>3985</v>
      </c>
      <c r="G647">
        <f>+YEAR(Tabla__192.168.1.8_POSEIDONSQL_APPFVT_01_SQLFacturasRendidas[[#This Row],[f_facturacion]])</f>
        <v>2018</v>
      </c>
      <c r="H64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647">
        <f>+IF(Tabla__192.168.1.8_POSEIDONSQL_APPFVT_01_SQLFacturasRendidas[[#This Row],[epc_nombre]]="RENDIDA",1,0)</f>
        <v>1</v>
      </c>
      <c r="J647">
        <f>+IF(Tabla__192.168.1.8_POSEIDONSQL_APPFVT_01_SQLFacturasRendidas[[#This Row],[usu_codigo]]="","",1)</f>
        <v>1</v>
      </c>
    </row>
    <row r="648" spans="1:10" x14ac:dyDescent="0.25">
      <c r="A648">
        <v>1</v>
      </c>
      <c r="B648">
        <v>3</v>
      </c>
      <c r="C648" t="s">
        <v>11</v>
      </c>
      <c r="D648" t="s">
        <v>15</v>
      </c>
      <c r="E648" t="s">
        <v>35</v>
      </c>
      <c r="F648">
        <v>3986</v>
      </c>
      <c r="G648">
        <f>+YEAR(Tabla__192.168.1.8_POSEIDONSQL_APPFVT_01_SQLFacturasRendidas[[#This Row],[f_facturacion]])</f>
        <v>2018</v>
      </c>
      <c r="H64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648">
        <f>+IF(Tabla__192.168.1.8_POSEIDONSQL_APPFVT_01_SQLFacturasRendidas[[#This Row],[epc_nombre]]="RENDIDA",1,0)</f>
        <v>1</v>
      </c>
      <c r="J648">
        <f>+IF(Tabla__192.168.1.8_POSEIDONSQL_APPFVT_01_SQLFacturasRendidas[[#This Row],[usu_codigo]]="","",1)</f>
        <v>1</v>
      </c>
    </row>
    <row r="649" spans="1:10" x14ac:dyDescent="0.25">
      <c r="A649">
        <v>1</v>
      </c>
      <c r="B649">
        <v>3</v>
      </c>
      <c r="C649" t="s">
        <v>11</v>
      </c>
      <c r="D649" t="s">
        <v>15</v>
      </c>
      <c r="E649" t="s">
        <v>35</v>
      </c>
      <c r="F649">
        <v>3987</v>
      </c>
      <c r="G649">
        <f>+YEAR(Tabla__192.168.1.8_POSEIDONSQL_APPFVT_01_SQLFacturasRendidas[[#This Row],[f_facturacion]])</f>
        <v>2018</v>
      </c>
      <c r="H64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649">
        <f>+IF(Tabla__192.168.1.8_POSEIDONSQL_APPFVT_01_SQLFacturasRendidas[[#This Row],[epc_nombre]]="RENDIDA",1,0)</f>
        <v>1</v>
      </c>
      <c r="J649">
        <f>+IF(Tabla__192.168.1.8_POSEIDONSQL_APPFVT_01_SQLFacturasRendidas[[#This Row],[usu_codigo]]="","",1)</f>
        <v>1</v>
      </c>
    </row>
    <row r="650" spans="1:10" x14ac:dyDescent="0.25">
      <c r="A650">
        <v>1</v>
      </c>
      <c r="B650">
        <v>3</v>
      </c>
      <c r="C650" t="s">
        <v>11</v>
      </c>
      <c r="D650" t="s">
        <v>15</v>
      </c>
      <c r="E650" t="s">
        <v>35</v>
      </c>
      <c r="F650">
        <v>3988</v>
      </c>
      <c r="G650">
        <f>+YEAR(Tabla__192.168.1.8_POSEIDONSQL_APPFVT_01_SQLFacturasRendidas[[#This Row],[f_facturacion]])</f>
        <v>2018</v>
      </c>
      <c r="H65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650">
        <f>+IF(Tabla__192.168.1.8_POSEIDONSQL_APPFVT_01_SQLFacturasRendidas[[#This Row],[epc_nombre]]="RENDIDA",1,0)</f>
        <v>1</v>
      </c>
      <c r="J650">
        <f>+IF(Tabla__192.168.1.8_POSEIDONSQL_APPFVT_01_SQLFacturasRendidas[[#This Row],[usu_codigo]]="","",1)</f>
        <v>1</v>
      </c>
    </row>
    <row r="651" spans="1:10" x14ac:dyDescent="0.25">
      <c r="A651">
        <v>1</v>
      </c>
      <c r="B651">
        <v>3</v>
      </c>
      <c r="C651" t="s">
        <v>11</v>
      </c>
      <c r="D651" t="s">
        <v>15</v>
      </c>
      <c r="E651" t="s">
        <v>35</v>
      </c>
      <c r="F651">
        <v>3989</v>
      </c>
      <c r="G651">
        <f>+YEAR(Tabla__192.168.1.8_POSEIDONSQL_APPFVT_01_SQLFacturasRendidas[[#This Row],[f_facturacion]])</f>
        <v>2018</v>
      </c>
      <c r="H65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651">
        <f>+IF(Tabla__192.168.1.8_POSEIDONSQL_APPFVT_01_SQLFacturasRendidas[[#This Row],[epc_nombre]]="RENDIDA",1,0)</f>
        <v>1</v>
      </c>
      <c r="J651">
        <f>+IF(Tabla__192.168.1.8_POSEIDONSQL_APPFVT_01_SQLFacturasRendidas[[#This Row],[usu_codigo]]="","",1)</f>
        <v>1</v>
      </c>
    </row>
    <row r="652" spans="1:10" x14ac:dyDescent="0.25">
      <c r="A652">
        <v>1</v>
      </c>
      <c r="B652">
        <v>3</v>
      </c>
      <c r="C652" t="s">
        <v>11</v>
      </c>
      <c r="D652" t="s">
        <v>15</v>
      </c>
      <c r="E652" t="s">
        <v>35</v>
      </c>
      <c r="F652">
        <v>3990</v>
      </c>
      <c r="G652">
        <f>+YEAR(Tabla__192.168.1.8_POSEIDONSQL_APPFVT_01_SQLFacturasRendidas[[#This Row],[f_facturacion]])</f>
        <v>2018</v>
      </c>
      <c r="H65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652">
        <f>+IF(Tabla__192.168.1.8_POSEIDONSQL_APPFVT_01_SQLFacturasRendidas[[#This Row],[epc_nombre]]="RENDIDA",1,0)</f>
        <v>1</v>
      </c>
      <c r="J652">
        <f>+IF(Tabla__192.168.1.8_POSEIDONSQL_APPFVT_01_SQLFacturasRendidas[[#This Row],[usu_codigo]]="","",1)</f>
        <v>1</v>
      </c>
    </row>
    <row r="653" spans="1:10" x14ac:dyDescent="0.25">
      <c r="A653">
        <v>1</v>
      </c>
      <c r="B653">
        <v>3</v>
      </c>
      <c r="C653" t="s">
        <v>11</v>
      </c>
      <c r="D653" t="s">
        <v>15</v>
      </c>
      <c r="E653" t="s">
        <v>35</v>
      </c>
      <c r="F653">
        <v>3991</v>
      </c>
      <c r="G653">
        <f>+YEAR(Tabla__192.168.1.8_POSEIDONSQL_APPFVT_01_SQLFacturasRendidas[[#This Row],[f_facturacion]])</f>
        <v>2018</v>
      </c>
      <c r="H65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653">
        <f>+IF(Tabla__192.168.1.8_POSEIDONSQL_APPFVT_01_SQLFacturasRendidas[[#This Row],[epc_nombre]]="RENDIDA",1,0)</f>
        <v>1</v>
      </c>
      <c r="J653">
        <f>+IF(Tabla__192.168.1.8_POSEIDONSQL_APPFVT_01_SQLFacturasRendidas[[#This Row],[usu_codigo]]="","",1)</f>
        <v>1</v>
      </c>
    </row>
    <row r="654" spans="1:10" x14ac:dyDescent="0.25">
      <c r="A654">
        <v>1</v>
      </c>
      <c r="B654">
        <v>3</v>
      </c>
      <c r="C654" t="s">
        <v>11</v>
      </c>
      <c r="D654" t="s">
        <v>15</v>
      </c>
      <c r="E654" t="s">
        <v>35</v>
      </c>
      <c r="F654">
        <v>3992</v>
      </c>
      <c r="G654">
        <f>+YEAR(Tabla__192.168.1.8_POSEIDONSQL_APPFVT_01_SQLFacturasRendidas[[#This Row],[f_facturacion]])</f>
        <v>2018</v>
      </c>
      <c r="H65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654">
        <f>+IF(Tabla__192.168.1.8_POSEIDONSQL_APPFVT_01_SQLFacturasRendidas[[#This Row],[epc_nombre]]="RENDIDA",1,0)</f>
        <v>1</v>
      </c>
      <c r="J654">
        <f>+IF(Tabla__192.168.1.8_POSEIDONSQL_APPFVT_01_SQLFacturasRendidas[[#This Row],[usu_codigo]]="","",1)</f>
        <v>1</v>
      </c>
    </row>
    <row r="655" spans="1:10" x14ac:dyDescent="0.25">
      <c r="A655">
        <v>1</v>
      </c>
      <c r="B655">
        <v>3</v>
      </c>
      <c r="C655" t="s">
        <v>11</v>
      </c>
      <c r="D655" t="s">
        <v>15</v>
      </c>
      <c r="E655" t="s">
        <v>35</v>
      </c>
      <c r="F655">
        <v>3993</v>
      </c>
      <c r="G655">
        <f>+YEAR(Tabla__192.168.1.8_POSEIDONSQL_APPFVT_01_SQLFacturasRendidas[[#This Row],[f_facturacion]])</f>
        <v>2018</v>
      </c>
      <c r="H65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655">
        <f>+IF(Tabla__192.168.1.8_POSEIDONSQL_APPFVT_01_SQLFacturasRendidas[[#This Row],[epc_nombre]]="RENDIDA",1,0)</f>
        <v>1</v>
      </c>
      <c r="J655">
        <f>+IF(Tabla__192.168.1.8_POSEIDONSQL_APPFVT_01_SQLFacturasRendidas[[#This Row],[usu_codigo]]="","",1)</f>
        <v>1</v>
      </c>
    </row>
    <row r="656" spans="1:10" x14ac:dyDescent="0.25">
      <c r="A656">
        <v>1</v>
      </c>
      <c r="B656">
        <v>3</v>
      </c>
      <c r="C656" t="s">
        <v>11</v>
      </c>
      <c r="D656" t="s">
        <v>15</v>
      </c>
      <c r="E656" t="s">
        <v>35</v>
      </c>
      <c r="F656">
        <v>3994</v>
      </c>
      <c r="G656">
        <f>+YEAR(Tabla__192.168.1.8_POSEIDONSQL_APPFVT_01_SQLFacturasRendidas[[#This Row],[f_facturacion]])</f>
        <v>2018</v>
      </c>
      <c r="H65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656">
        <f>+IF(Tabla__192.168.1.8_POSEIDONSQL_APPFVT_01_SQLFacturasRendidas[[#This Row],[epc_nombre]]="RENDIDA",1,0)</f>
        <v>1</v>
      </c>
      <c r="J656">
        <f>+IF(Tabla__192.168.1.8_POSEIDONSQL_APPFVT_01_SQLFacturasRendidas[[#This Row],[usu_codigo]]="","",1)</f>
        <v>1</v>
      </c>
    </row>
    <row r="657" spans="1:10" x14ac:dyDescent="0.25">
      <c r="A657">
        <v>1</v>
      </c>
      <c r="B657">
        <v>3</v>
      </c>
      <c r="C657" t="s">
        <v>11</v>
      </c>
      <c r="D657" t="s">
        <v>15</v>
      </c>
      <c r="E657" t="s">
        <v>35</v>
      </c>
      <c r="F657">
        <v>3995</v>
      </c>
      <c r="G657">
        <f>+YEAR(Tabla__192.168.1.8_POSEIDONSQL_APPFVT_01_SQLFacturasRendidas[[#This Row],[f_facturacion]])</f>
        <v>2018</v>
      </c>
      <c r="H65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657">
        <f>+IF(Tabla__192.168.1.8_POSEIDONSQL_APPFVT_01_SQLFacturasRendidas[[#This Row],[epc_nombre]]="RENDIDA",1,0)</f>
        <v>1</v>
      </c>
      <c r="J657">
        <f>+IF(Tabla__192.168.1.8_POSEIDONSQL_APPFVT_01_SQLFacturasRendidas[[#This Row],[usu_codigo]]="","",1)</f>
        <v>1</v>
      </c>
    </row>
    <row r="658" spans="1:10" x14ac:dyDescent="0.25">
      <c r="A658">
        <v>1</v>
      </c>
      <c r="B658">
        <v>3</v>
      </c>
      <c r="C658" t="s">
        <v>11</v>
      </c>
      <c r="D658" t="s">
        <v>15</v>
      </c>
      <c r="E658" t="s">
        <v>35</v>
      </c>
      <c r="F658">
        <v>3996</v>
      </c>
      <c r="G658">
        <f>+YEAR(Tabla__192.168.1.8_POSEIDONSQL_APPFVT_01_SQLFacturasRendidas[[#This Row],[f_facturacion]])</f>
        <v>2018</v>
      </c>
      <c r="H65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658">
        <f>+IF(Tabla__192.168.1.8_POSEIDONSQL_APPFVT_01_SQLFacturasRendidas[[#This Row],[epc_nombre]]="RENDIDA",1,0)</f>
        <v>1</v>
      </c>
      <c r="J658">
        <f>+IF(Tabla__192.168.1.8_POSEIDONSQL_APPFVT_01_SQLFacturasRendidas[[#This Row],[usu_codigo]]="","",1)</f>
        <v>1</v>
      </c>
    </row>
    <row r="659" spans="1:10" x14ac:dyDescent="0.25">
      <c r="A659">
        <v>1</v>
      </c>
      <c r="B659">
        <v>3</v>
      </c>
      <c r="C659" t="s">
        <v>11</v>
      </c>
      <c r="D659" t="s">
        <v>15</v>
      </c>
      <c r="E659" t="s">
        <v>35</v>
      </c>
      <c r="F659">
        <v>3997</v>
      </c>
      <c r="G659">
        <f>+YEAR(Tabla__192.168.1.8_POSEIDONSQL_APPFVT_01_SQLFacturasRendidas[[#This Row],[f_facturacion]])</f>
        <v>2018</v>
      </c>
      <c r="H65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659">
        <f>+IF(Tabla__192.168.1.8_POSEIDONSQL_APPFVT_01_SQLFacturasRendidas[[#This Row],[epc_nombre]]="RENDIDA",1,0)</f>
        <v>1</v>
      </c>
      <c r="J659">
        <f>+IF(Tabla__192.168.1.8_POSEIDONSQL_APPFVT_01_SQLFacturasRendidas[[#This Row],[usu_codigo]]="","",1)</f>
        <v>1</v>
      </c>
    </row>
    <row r="660" spans="1:10" x14ac:dyDescent="0.25">
      <c r="A660">
        <v>1</v>
      </c>
      <c r="B660">
        <v>3</v>
      </c>
      <c r="C660" t="s">
        <v>11</v>
      </c>
      <c r="D660" t="s">
        <v>15</v>
      </c>
      <c r="E660" t="s">
        <v>35</v>
      </c>
      <c r="F660">
        <v>3998</v>
      </c>
      <c r="G660">
        <f>+YEAR(Tabla__192.168.1.8_POSEIDONSQL_APPFVT_01_SQLFacturasRendidas[[#This Row],[f_facturacion]])</f>
        <v>2018</v>
      </c>
      <c r="H66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660">
        <f>+IF(Tabla__192.168.1.8_POSEIDONSQL_APPFVT_01_SQLFacturasRendidas[[#This Row],[epc_nombre]]="RENDIDA",1,0)</f>
        <v>1</v>
      </c>
      <c r="J660">
        <f>+IF(Tabla__192.168.1.8_POSEIDONSQL_APPFVT_01_SQLFacturasRendidas[[#This Row],[usu_codigo]]="","",1)</f>
        <v>1</v>
      </c>
    </row>
    <row r="661" spans="1:10" x14ac:dyDescent="0.25">
      <c r="A661">
        <v>1</v>
      </c>
      <c r="B661">
        <v>3</v>
      </c>
      <c r="C661" t="s">
        <v>11</v>
      </c>
      <c r="D661" t="s">
        <v>15</v>
      </c>
      <c r="E661" t="s">
        <v>35</v>
      </c>
      <c r="F661">
        <v>3999</v>
      </c>
      <c r="G661">
        <f>+YEAR(Tabla__192.168.1.8_POSEIDONSQL_APPFVT_01_SQLFacturasRendidas[[#This Row],[f_facturacion]])</f>
        <v>2018</v>
      </c>
      <c r="H66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661">
        <f>+IF(Tabla__192.168.1.8_POSEIDONSQL_APPFVT_01_SQLFacturasRendidas[[#This Row],[epc_nombre]]="RENDIDA",1,0)</f>
        <v>1</v>
      </c>
      <c r="J661">
        <f>+IF(Tabla__192.168.1.8_POSEIDONSQL_APPFVT_01_SQLFacturasRendidas[[#This Row],[usu_codigo]]="","",1)</f>
        <v>1</v>
      </c>
    </row>
    <row r="662" spans="1:10" x14ac:dyDescent="0.25">
      <c r="A662">
        <v>1</v>
      </c>
      <c r="B662">
        <v>3</v>
      </c>
      <c r="C662" t="s">
        <v>11</v>
      </c>
      <c r="D662" t="s">
        <v>15</v>
      </c>
      <c r="E662" t="s">
        <v>35</v>
      </c>
      <c r="F662">
        <v>4000</v>
      </c>
      <c r="G662">
        <f>+YEAR(Tabla__192.168.1.8_POSEIDONSQL_APPFVT_01_SQLFacturasRendidas[[#This Row],[f_facturacion]])</f>
        <v>2018</v>
      </c>
      <c r="H66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662">
        <f>+IF(Tabla__192.168.1.8_POSEIDONSQL_APPFVT_01_SQLFacturasRendidas[[#This Row],[epc_nombre]]="RENDIDA",1,0)</f>
        <v>1</v>
      </c>
      <c r="J662">
        <f>+IF(Tabla__192.168.1.8_POSEIDONSQL_APPFVT_01_SQLFacturasRendidas[[#This Row],[usu_codigo]]="","",1)</f>
        <v>1</v>
      </c>
    </row>
    <row r="663" spans="1:10" x14ac:dyDescent="0.25">
      <c r="A663">
        <v>1</v>
      </c>
      <c r="B663">
        <v>3</v>
      </c>
      <c r="C663" t="s">
        <v>11</v>
      </c>
      <c r="D663" t="s">
        <v>15</v>
      </c>
      <c r="E663" t="s">
        <v>35</v>
      </c>
      <c r="F663">
        <v>4002</v>
      </c>
      <c r="G663">
        <f>+YEAR(Tabla__192.168.1.8_POSEIDONSQL_APPFVT_01_SQLFacturasRendidas[[#This Row],[f_facturacion]])</f>
        <v>2018</v>
      </c>
      <c r="H66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663">
        <f>+IF(Tabla__192.168.1.8_POSEIDONSQL_APPFVT_01_SQLFacturasRendidas[[#This Row],[epc_nombre]]="RENDIDA",1,0)</f>
        <v>1</v>
      </c>
      <c r="J663">
        <f>+IF(Tabla__192.168.1.8_POSEIDONSQL_APPFVT_01_SQLFacturasRendidas[[#This Row],[usu_codigo]]="","",1)</f>
        <v>1</v>
      </c>
    </row>
    <row r="664" spans="1:10" x14ac:dyDescent="0.25">
      <c r="A664">
        <v>1</v>
      </c>
      <c r="B664">
        <v>3</v>
      </c>
      <c r="C664" t="s">
        <v>11</v>
      </c>
      <c r="D664" t="s">
        <v>15</v>
      </c>
      <c r="E664" t="s">
        <v>57</v>
      </c>
      <c r="F664">
        <v>4025</v>
      </c>
      <c r="G664">
        <f>+YEAR(Tabla__192.168.1.8_POSEIDONSQL_APPFVT_01_SQLFacturasRendidas[[#This Row],[f_facturacion]])</f>
        <v>2018</v>
      </c>
      <c r="H66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664">
        <f>+IF(Tabla__192.168.1.8_POSEIDONSQL_APPFVT_01_SQLFacturasRendidas[[#This Row],[epc_nombre]]="RENDIDA",1,0)</f>
        <v>1</v>
      </c>
      <c r="J664">
        <f>+IF(Tabla__192.168.1.8_POSEIDONSQL_APPFVT_01_SQLFacturasRendidas[[#This Row],[usu_codigo]]="","",1)</f>
        <v>1</v>
      </c>
    </row>
    <row r="665" spans="1:10" x14ac:dyDescent="0.25">
      <c r="A665">
        <v>1</v>
      </c>
      <c r="B665">
        <v>3</v>
      </c>
      <c r="C665" t="s">
        <v>11</v>
      </c>
      <c r="D665" t="s">
        <v>15</v>
      </c>
      <c r="E665" t="s">
        <v>57</v>
      </c>
      <c r="F665">
        <v>4026</v>
      </c>
      <c r="G665">
        <f>+YEAR(Tabla__192.168.1.8_POSEIDONSQL_APPFVT_01_SQLFacturasRendidas[[#This Row],[f_facturacion]])</f>
        <v>2018</v>
      </c>
      <c r="H66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665">
        <f>+IF(Tabla__192.168.1.8_POSEIDONSQL_APPFVT_01_SQLFacturasRendidas[[#This Row],[epc_nombre]]="RENDIDA",1,0)</f>
        <v>1</v>
      </c>
      <c r="J665">
        <f>+IF(Tabla__192.168.1.8_POSEIDONSQL_APPFVT_01_SQLFacturasRendidas[[#This Row],[usu_codigo]]="","",1)</f>
        <v>1</v>
      </c>
    </row>
    <row r="666" spans="1:10" x14ac:dyDescent="0.25">
      <c r="A666">
        <v>1</v>
      </c>
      <c r="B666">
        <v>3</v>
      </c>
      <c r="C666" t="s">
        <v>11</v>
      </c>
      <c r="D666" t="s">
        <v>15</v>
      </c>
      <c r="E666" t="s">
        <v>57</v>
      </c>
      <c r="F666">
        <v>4027</v>
      </c>
      <c r="G666">
        <f>+YEAR(Tabla__192.168.1.8_POSEIDONSQL_APPFVT_01_SQLFacturasRendidas[[#This Row],[f_facturacion]])</f>
        <v>2018</v>
      </c>
      <c r="H66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666">
        <f>+IF(Tabla__192.168.1.8_POSEIDONSQL_APPFVT_01_SQLFacturasRendidas[[#This Row],[epc_nombre]]="RENDIDA",1,0)</f>
        <v>1</v>
      </c>
      <c r="J666">
        <f>+IF(Tabla__192.168.1.8_POSEIDONSQL_APPFVT_01_SQLFacturasRendidas[[#This Row],[usu_codigo]]="","",1)</f>
        <v>1</v>
      </c>
    </row>
    <row r="667" spans="1:10" x14ac:dyDescent="0.25">
      <c r="A667">
        <v>1</v>
      </c>
      <c r="B667">
        <v>3</v>
      </c>
      <c r="C667" t="s">
        <v>11</v>
      </c>
      <c r="D667" t="s">
        <v>15</v>
      </c>
      <c r="E667" t="s">
        <v>74</v>
      </c>
      <c r="F667">
        <v>4042</v>
      </c>
      <c r="G667">
        <f>+YEAR(Tabla__192.168.1.8_POSEIDONSQL_APPFVT_01_SQLFacturasRendidas[[#This Row],[f_facturacion]])</f>
        <v>2018</v>
      </c>
      <c r="H66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667">
        <f>+IF(Tabla__192.168.1.8_POSEIDONSQL_APPFVT_01_SQLFacturasRendidas[[#This Row],[epc_nombre]]="RENDIDA",1,0)</f>
        <v>1</v>
      </c>
      <c r="J667">
        <f>+IF(Tabla__192.168.1.8_POSEIDONSQL_APPFVT_01_SQLFacturasRendidas[[#This Row],[usu_codigo]]="","",1)</f>
        <v>1</v>
      </c>
    </row>
    <row r="668" spans="1:10" x14ac:dyDescent="0.25">
      <c r="A668">
        <v>1</v>
      </c>
      <c r="B668">
        <v>3</v>
      </c>
      <c r="C668" t="s">
        <v>11</v>
      </c>
      <c r="D668" t="s">
        <v>15</v>
      </c>
      <c r="E668" t="s">
        <v>74</v>
      </c>
      <c r="F668">
        <v>4043</v>
      </c>
      <c r="G668">
        <f>+YEAR(Tabla__192.168.1.8_POSEIDONSQL_APPFVT_01_SQLFacturasRendidas[[#This Row],[f_facturacion]])</f>
        <v>2018</v>
      </c>
      <c r="H66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668">
        <f>+IF(Tabla__192.168.1.8_POSEIDONSQL_APPFVT_01_SQLFacturasRendidas[[#This Row],[epc_nombre]]="RENDIDA",1,0)</f>
        <v>1</v>
      </c>
      <c r="J668">
        <f>+IF(Tabla__192.168.1.8_POSEIDONSQL_APPFVT_01_SQLFacturasRendidas[[#This Row],[usu_codigo]]="","",1)</f>
        <v>1</v>
      </c>
    </row>
    <row r="669" spans="1:10" x14ac:dyDescent="0.25">
      <c r="A669">
        <v>1</v>
      </c>
      <c r="B669">
        <v>3</v>
      </c>
      <c r="C669" t="s">
        <v>11</v>
      </c>
      <c r="D669" t="s">
        <v>15</v>
      </c>
      <c r="E669" t="s">
        <v>74</v>
      </c>
      <c r="F669">
        <v>4044</v>
      </c>
      <c r="G669">
        <f>+YEAR(Tabla__192.168.1.8_POSEIDONSQL_APPFVT_01_SQLFacturasRendidas[[#This Row],[f_facturacion]])</f>
        <v>2018</v>
      </c>
      <c r="H66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669">
        <f>+IF(Tabla__192.168.1.8_POSEIDONSQL_APPFVT_01_SQLFacturasRendidas[[#This Row],[epc_nombre]]="RENDIDA",1,0)</f>
        <v>1</v>
      </c>
      <c r="J669">
        <f>+IF(Tabla__192.168.1.8_POSEIDONSQL_APPFVT_01_SQLFacturasRendidas[[#This Row],[usu_codigo]]="","",1)</f>
        <v>1</v>
      </c>
    </row>
    <row r="670" spans="1:10" x14ac:dyDescent="0.25">
      <c r="A670">
        <v>1</v>
      </c>
      <c r="B670">
        <v>3</v>
      </c>
      <c r="C670" t="s">
        <v>11</v>
      </c>
      <c r="D670" t="s">
        <v>15</v>
      </c>
      <c r="E670" t="s">
        <v>74</v>
      </c>
      <c r="F670">
        <v>4045</v>
      </c>
      <c r="G670">
        <f>+YEAR(Tabla__192.168.1.8_POSEIDONSQL_APPFVT_01_SQLFacturasRendidas[[#This Row],[f_facturacion]])</f>
        <v>2018</v>
      </c>
      <c r="H67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670">
        <f>+IF(Tabla__192.168.1.8_POSEIDONSQL_APPFVT_01_SQLFacturasRendidas[[#This Row],[epc_nombre]]="RENDIDA",1,0)</f>
        <v>1</v>
      </c>
      <c r="J670">
        <f>+IF(Tabla__192.168.1.8_POSEIDONSQL_APPFVT_01_SQLFacturasRendidas[[#This Row],[usu_codigo]]="","",1)</f>
        <v>1</v>
      </c>
    </row>
    <row r="671" spans="1:10" x14ac:dyDescent="0.25">
      <c r="A671">
        <v>1</v>
      </c>
      <c r="B671">
        <v>3</v>
      </c>
      <c r="C671" t="s">
        <v>11</v>
      </c>
      <c r="D671" t="s">
        <v>15</v>
      </c>
      <c r="E671" t="s">
        <v>74</v>
      </c>
      <c r="F671">
        <v>4046</v>
      </c>
      <c r="G671">
        <f>+YEAR(Tabla__192.168.1.8_POSEIDONSQL_APPFVT_01_SQLFacturasRendidas[[#This Row],[f_facturacion]])</f>
        <v>2018</v>
      </c>
      <c r="H67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671">
        <f>+IF(Tabla__192.168.1.8_POSEIDONSQL_APPFVT_01_SQLFacturasRendidas[[#This Row],[epc_nombre]]="RENDIDA",1,0)</f>
        <v>1</v>
      </c>
      <c r="J671">
        <f>+IF(Tabla__192.168.1.8_POSEIDONSQL_APPFVT_01_SQLFacturasRendidas[[#This Row],[usu_codigo]]="","",1)</f>
        <v>1</v>
      </c>
    </row>
    <row r="672" spans="1:10" x14ac:dyDescent="0.25">
      <c r="A672">
        <v>1</v>
      </c>
      <c r="B672">
        <v>3</v>
      </c>
      <c r="C672" t="s">
        <v>11</v>
      </c>
      <c r="D672" t="s">
        <v>15</v>
      </c>
      <c r="E672" t="s">
        <v>74</v>
      </c>
      <c r="F672">
        <v>4047</v>
      </c>
      <c r="G672">
        <f>+YEAR(Tabla__192.168.1.8_POSEIDONSQL_APPFVT_01_SQLFacturasRendidas[[#This Row],[f_facturacion]])</f>
        <v>2018</v>
      </c>
      <c r="H67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672">
        <f>+IF(Tabla__192.168.1.8_POSEIDONSQL_APPFVT_01_SQLFacturasRendidas[[#This Row],[epc_nombre]]="RENDIDA",1,0)</f>
        <v>1</v>
      </c>
      <c r="J672">
        <f>+IF(Tabla__192.168.1.8_POSEIDONSQL_APPFVT_01_SQLFacturasRendidas[[#This Row],[usu_codigo]]="","",1)</f>
        <v>1</v>
      </c>
    </row>
    <row r="673" spans="1:10" x14ac:dyDescent="0.25">
      <c r="A673">
        <v>1</v>
      </c>
      <c r="B673">
        <v>3</v>
      </c>
      <c r="C673" t="s">
        <v>11</v>
      </c>
      <c r="D673" t="s">
        <v>15</v>
      </c>
      <c r="E673" t="s">
        <v>74</v>
      </c>
      <c r="F673">
        <v>4048</v>
      </c>
      <c r="G673">
        <f>+YEAR(Tabla__192.168.1.8_POSEIDONSQL_APPFVT_01_SQLFacturasRendidas[[#This Row],[f_facturacion]])</f>
        <v>2018</v>
      </c>
      <c r="H67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673">
        <f>+IF(Tabla__192.168.1.8_POSEIDONSQL_APPFVT_01_SQLFacturasRendidas[[#This Row],[epc_nombre]]="RENDIDA",1,0)</f>
        <v>1</v>
      </c>
      <c r="J673">
        <f>+IF(Tabla__192.168.1.8_POSEIDONSQL_APPFVT_01_SQLFacturasRendidas[[#This Row],[usu_codigo]]="","",1)</f>
        <v>1</v>
      </c>
    </row>
    <row r="674" spans="1:10" x14ac:dyDescent="0.25">
      <c r="A674">
        <v>1</v>
      </c>
      <c r="B674">
        <v>3</v>
      </c>
      <c r="C674" t="s">
        <v>11</v>
      </c>
      <c r="D674" t="s">
        <v>15</v>
      </c>
      <c r="E674" t="s">
        <v>74</v>
      </c>
      <c r="F674">
        <v>4049</v>
      </c>
      <c r="G674">
        <f>+YEAR(Tabla__192.168.1.8_POSEIDONSQL_APPFVT_01_SQLFacturasRendidas[[#This Row],[f_facturacion]])</f>
        <v>2018</v>
      </c>
      <c r="H67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674">
        <f>+IF(Tabla__192.168.1.8_POSEIDONSQL_APPFVT_01_SQLFacturasRendidas[[#This Row],[epc_nombre]]="RENDIDA",1,0)</f>
        <v>1</v>
      </c>
      <c r="J674">
        <f>+IF(Tabla__192.168.1.8_POSEIDONSQL_APPFVT_01_SQLFacturasRendidas[[#This Row],[usu_codigo]]="","",1)</f>
        <v>1</v>
      </c>
    </row>
    <row r="675" spans="1:10" x14ac:dyDescent="0.25">
      <c r="A675">
        <v>1</v>
      </c>
      <c r="B675">
        <v>3</v>
      </c>
      <c r="C675" t="s">
        <v>11</v>
      </c>
      <c r="D675" t="s">
        <v>15</v>
      </c>
      <c r="E675" t="s">
        <v>74</v>
      </c>
      <c r="F675">
        <v>4050</v>
      </c>
      <c r="G675">
        <f>+YEAR(Tabla__192.168.1.8_POSEIDONSQL_APPFVT_01_SQLFacturasRendidas[[#This Row],[f_facturacion]])</f>
        <v>2018</v>
      </c>
      <c r="H67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675">
        <f>+IF(Tabla__192.168.1.8_POSEIDONSQL_APPFVT_01_SQLFacturasRendidas[[#This Row],[epc_nombre]]="RENDIDA",1,0)</f>
        <v>1</v>
      </c>
      <c r="J675">
        <f>+IF(Tabla__192.168.1.8_POSEIDONSQL_APPFVT_01_SQLFacturasRendidas[[#This Row],[usu_codigo]]="","",1)</f>
        <v>1</v>
      </c>
    </row>
    <row r="676" spans="1:10" x14ac:dyDescent="0.25">
      <c r="A676">
        <v>1</v>
      </c>
      <c r="B676">
        <v>3</v>
      </c>
      <c r="C676" t="s">
        <v>11</v>
      </c>
      <c r="D676" t="s">
        <v>15</v>
      </c>
      <c r="E676" t="s">
        <v>74</v>
      </c>
      <c r="F676">
        <v>4051</v>
      </c>
      <c r="G676">
        <f>+YEAR(Tabla__192.168.1.8_POSEIDONSQL_APPFVT_01_SQLFacturasRendidas[[#This Row],[f_facturacion]])</f>
        <v>2018</v>
      </c>
      <c r="H67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676">
        <f>+IF(Tabla__192.168.1.8_POSEIDONSQL_APPFVT_01_SQLFacturasRendidas[[#This Row],[epc_nombre]]="RENDIDA",1,0)</f>
        <v>1</v>
      </c>
      <c r="J676">
        <f>+IF(Tabla__192.168.1.8_POSEIDONSQL_APPFVT_01_SQLFacturasRendidas[[#This Row],[usu_codigo]]="","",1)</f>
        <v>1</v>
      </c>
    </row>
    <row r="677" spans="1:10" x14ac:dyDescent="0.25">
      <c r="A677">
        <v>1</v>
      </c>
      <c r="B677">
        <v>3</v>
      </c>
      <c r="C677" t="s">
        <v>11</v>
      </c>
      <c r="D677" t="s">
        <v>15</v>
      </c>
      <c r="E677" t="s">
        <v>74</v>
      </c>
      <c r="F677">
        <v>4052</v>
      </c>
      <c r="G677">
        <f>+YEAR(Tabla__192.168.1.8_POSEIDONSQL_APPFVT_01_SQLFacturasRendidas[[#This Row],[f_facturacion]])</f>
        <v>2018</v>
      </c>
      <c r="H67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677">
        <f>+IF(Tabla__192.168.1.8_POSEIDONSQL_APPFVT_01_SQLFacturasRendidas[[#This Row],[epc_nombre]]="RENDIDA",1,0)</f>
        <v>1</v>
      </c>
      <c r="J677">
        <f>+IF(Tabla__192.168.1.8_POSEIDONSQL_APPFVT_01_SQLFacturasRendidas[[#This Row],[usu_codigo]]="","",1)</f>
        <v>1</v>
      </c>
    </row>
    <row r="678" spans="1:10" x14ac:dyDescent="0.25">
      <c r="A678">
        <v>1</v>
      </c>
      <c r="B678">
        <v>3</v>
      </c>
      <c r="C678" t="s">
        <v>11</v>
      </c>
      <c r="D678" t="s">
        <v>15</v>
      </c>
      <c r="E678" t="s">
        <v>74</v>
      </c>
      <c r="F678">
        <v>4053</v>
      </c>
      <c r="G678">
        <f>+YEAR(Tabla__192.168.1.8_POSEIDONSQL_APPFVT_01_SQLFacturasRendidas[[#This Row],[f_facturacion]])</f>
        <v>2018</v>
      </c>
      <c r="H67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678">
        <f>+IF(Tabla__192.168.1.8_POSEIDONSQL_APPFVT_01_SQLFacturasRendidas[[#This Row],[epc_nombre]]="RENDIDA",1,0)</f>
        <v>1</v>
      </c>
      <c r="J678">
        <f>+IF(Tabla__192.168.1.8_POSEIDONSQL_APPFVT_01_SQLFacturasRendidas[[#This Row],[usu_codigo]]="","",1)</f>
        <v>1</v>
      </c>
    </row>
    <row r="679" spans="1:10" x14ac:dyDescent="0.25">
      <c r="A679">
        <v>1</v>
      </c>
      <c r="B679">
        <v>3</v>
      </c>
      <c r="C679" t="s">
        <v>11</v>
      </c>
      <c r="D679" t="s">
        <v>15</v>
      </c>
      <c r="E679" t="s">
        <v>74</v>
      </c>
      <c r="F679">
        <v>4054</v>
      </c>
      <c r="G679">
        <f>+YEAR(Tabla__192.168.1.8_POSEIDONSQL_APPFVT_01_SQLFacturasRendidas[[#This Row],[f_facturacion]])</f>
        <v>2018</v>
      </c>
      <c r="H67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679">
        <f>+IF(Tabla__192.168.1.8_POSEIDONSQL_APPFVT_01_SQLFacturasRendidas[[#This Row],[epc_nombre]]="RENDIDA",1,0)</f>
        <v>1</v>
      </c>
      <c r="J679">
        <f>+IF(Tabla__192.168.1.8_POSEIDONSQL_APPFVT_01_SQLFacturasRendidas[[#This Row],[usu_codigo]]="","",1)</f>
        <v>1</v>
      </c>
    </row>
    <row r="680" spans="1:10" x14ac:dyDescent="0.25">
      <c r="A680">
        <v>1</v>
      </c>
      <c r="B680">
        <v>3</v>
      </c>
      <c r="C680" t="s">
        <v>11</v>
      </c>
      <c r="D680" t="s">
        <v>15</v>
      </c>
      <c r="E680" t="s">
        <v>74</v>
      </c>
      <c r="F680">
        <v>4055</v>
      </c>
      <c r="G680">
        <f>+YEAR(Tabla__192.168.1.8_POSEIDONSQL_APPFVT_01_SQLFacturasRendidas[[#This Row],[f_facturacion]])</f>
        <v>2018</v>
      </c>
      <c r="H68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680">
        <f>+IF(Tabla__192.168.1.8_POSEIDONSQL_APPFVT_01_SQLFacturasRendidas[[#This Row],[epc_nombre]]="RENDIDA",1,0)</f>
        <v>1</v>
      </c>
      <c r="J680">
        <f>+IF(Tabla__192.168.1.8_POSEIDONSQL_APPFVT_01_SQLFacturasRendidas[[#This Row],[usu_codigo]]="","",1)</f>
        <v>1</v>
      </c>
    </row>
    <row r="681" spans="1:10" x14ac:dyDescent="0.25">
      <c r="A681">
        <v>1</v>
      </c>
      <c r="B681">
        <v>3</v>
      </c>
      <c r="C681" t="s">
        <v>11</v>
      </c>
      <c r="D681" t="s">
        <v>15</v>
      </c>
      <c r="E681" t="s">
        <v>74</v>
      </c>
      <c r="F681">
        <v>4056</v>
      </c>
      <c r="G681">
        <f>+YEAR(Tabla__192.168.1.8_POSEIDONSQL_APPFVT_01_SQLFacturasRendidas[[#This Row],[f_facturacion]])</f>
        <v>2018</v>
      </c>
      <c r="H68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681">
        <f>+IF(Tabla__192.168.1.8_POSEIDONSQL_APPFVT_01_SQLFacturasRendidas[[#This Row],[epc_nombre]]="RENDIDA",1,0)</f>
        <v>1</v>
      </c>
      <c r="J681">
        <f>+IF(Tabla__192.168.1.8_POSEIDONSQL_APPFVT_01_SQLFacturasRendidas[[#This Row],[usu_codigo]]="","",1)</f>
        <v>1</v>
      </c>
    </row>
    <row r="682" spans="1:10" x14ac:dyDescent="0.25">
      <c r="A682">
        <v>1</v>
      </c>
      <c r="B682">
        <v>3</v>
      </c>
      <c r="C682" t="s">
        <v>11</v>
      </c>
      <c r="D682" t="s">
        <v>15</v>
      </c>
      <c r="E682" t="s">
        <v>74</v>
      </c>
      <c r="F682">
        <v>4057</v>
      </c>
      <c r="G682">
        <f>+YEAR(Tabla__192.168.1.8_POSEIDONSQL_APPFVT_01_SQLFacturasRendidas[[#This Row],[f_facturacion]])</f>
        <v>2018</v>
      </c>
      <c r="H68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682">
        <f>+IF(Tabla__192.168.1.8_POSEIDONSQL_APPFVT_01_SQLFacturasRendidas[[#This Row],[epc_nombre]]="RENDIDA",1,0)</f>
        <v>1</v>
      </c>
      <c r="J682">
        <f>+IF(Tabla__192.168.1.8_POSEIDONSQL_APPFVT_01_SQLFacturasRendidas[[#This Row],[usu_codigo]]="","",1)</f>
        <v>1</v>
      </c>
    </row>
    <row r="683" spans="1:10" x14ac:dyDescent="0.25">
      <c r="A683">
        <v>1</v>
      </c>
      <c r="B683">
        <v>3</v>
      </c>
      <c r="C683" t="s">
        <v>11</v>
      </c>
      <c r="D683" t="s">
        <v>15</v>
      </c>
      <c r="E683" t="s">
        <v>74</v>
      </c>
      <c r="F683">
        <v>4058</v>
      </c>
      <c r="G683">
        <f>+YEAR(Tabla__192.168.1.8_POSEIDONSQL_APPFVT_01_SQLFacturasRendidas[[#This Row],[f_facturacion]])</f>
        <v>2018</v>
      </c>
      <c r="H68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683">
        <f>+IF(Tabla__192.168.1.8_POSEIDONSQL_APPFVT_01_SQLFacturasRendidas[[#This Row],[epc_nombre]]="RENDIDA",1,0)</f>
        <v>1</v>
      </c>
      <c r="J683">
        <f>+IF(Tabla__192.168.1.8_POSEIDONSQL_APPFVT_01_SQLFacturasRendidas[[#This Row],[usu_codigo]]="","",1)</f>
        <v>1</v>
      </c>
    </row>
    <row r="684" spans="1:10" x14ac:dyDescent="0.25">
      <c r="A684">
        <v>1</v>
      </c>
      <c r="B684">
        <v>3</v>
      </c>
      <c r="C684" t="s">
        <v>11</v>
      </c>
      <c r="D684" t="s">
        <v>15</v>
      </c>
      <c r="E684" t="s">
        <v>60</v>
      </c>
      <c r="F684">
        <v>4059</v>
      </c>
      <c r="G684">
        <f>+YEAR(Tabla__192.168.1.8_POSEIDONSQL_APPFVT_01_SQLFacturasRendidas[[#This Row],[f_facturacion]])</f>
        <v>2018</v>
      </c>
      <c r="H68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684">
        <f>+IF(Tabla__192.168.1.8_POSEIDONSQL_APPFVT_01_SQLFacturasRendidas[[#This Row],[epc_nombre]]="RENDIDA",1,0)</f>
        <v>1</v>
      </c>
      <c r="J684">
        <f>+IF(Tabla__192.168.1.8_POSEIDONSQL_APPFVT_01_SQLFacturasRendidas[[#This Row],[usu_codigo]]="","",1)</f>
        <v>1</v>
      </c>
    </row>
    <row r="685" spans="1:10" x14ac:dyDescent="0.25">
      <c r="A685">
        <v>1</v>
      </c>
      <c r="B685">
        <v>3</v>
      </c>
      <c r="C685" t="s">
        <v>11</v>
      </c>
      <c r="D685" t="s">
        <v>15</v>
      </c>
      <c r="E685" t="s">
        <v>60</v>
      </c>
      <c r="F685">
        <v>4060</v>
      </c>
      <c r="G685">
        <f>+YEAR(Tabla__192.168.1.8_POSEIDONSQL_APPFVT_01_SQLFacturasRendidas[[#This Row],[f_facturacion]])</f>
        <v>2018</v>
      </c>
      <c r="H68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685">
        <f>+IF(Tabla__192.168.1.8_POSEIDONSQL_APPFVT_01_SQLFacturasRendidas[[#This Row],[epc_nombre]]="RENDIDA",1,0)</f>
        <v>1</v>
      </c>
      <c r="J685">
        <f>+IF(Tabla__192.168.1.8_POSEIDONSQL_APPFVT_01_SQLFacturasRendidas[[#This Row],[usu_codigo]]="","",1)</f>
        <v>1</v>
      </c>
    </row>
    <row r="686" spans="1:10" x14ac:dyDescent="0.25">
      <c r="A686">
        <v>1</v>
      </c>
      <c r="B686">
        <v>3</v>
      </c>
      <c r="C686" t="s">
        <v>11</v>
      </c>
      <c r="D686" t="s">
        <v>15</v>
      </c>
      <c r="E686" t="s">
        <v>77</v>
      </c>
      <c r="F686">
        <v>4156</v>
      </c>
      <c r="G686">
        <f>+YEAR(Tabla__192.168.1.8_POSEIDONSQL_APPFVT_01_SQLFacturasRendidas[[#This Row],[f_facturacion]])</f>
        <v>2018</v>
      </c>
      <c r="H68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686">
        <f>+IF(Tabla__192.168.1.8_POSEIDONSQL_APPFVT_01_SQLFacturasRendidas[[#This Row],[epc_nombre]]="RENDIDA",1,0)</f>
        <v>1</v>
      </c>
      <c r="J686">
        <f>+IF(Tabla__192.168.1.8_POSEIDONSQL_APPFVT_01_SQLFacturasRendidas[[#This Row],[usu_codigo]]="","",1)</f>
        <v>1</v>
      </c>
    </row>
    <row r="687" spans="1:10" x14ac:dyDescent="0.25">
      <c r="A687">
        <v>1</v>
      </c>
      <c r="B687">
        <v>3</v>
      </c>
      <c r="C687" t="s">
        <v>11</v>
      </c>
      <c r="D687" t="s">
        <v>15</v>
      </c>
      <c r="E687" t="s">
        <v>77</v>
      </c>
      <c r="F687">
        <v>4157</v>
      </c>
      <c r="G687">
        <f>+YEAR(Tabla__192.168.1.8_POSEIDONSQL_APPFVT_01_SQLFacturasRendidas[[#This Row],[f_facturacion]])</f>
        <v>2018</v>
      </c>
      <c r="H68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687">
        <f>+IF(Tabla__192.168.1.8_POSEIDONSQL_APPFVT_01_SQLFacturasRendidas[[#This Row],[epc_nombre]]="RENDIDA",1,0)</f>
        <v>1</v>
      </c>
      <c r="J687">
        <f>+IF(Tabla__192.168.1.8_POSEIDONSQL_APPFVT_01_SQLFacturasRendidas[[#This Row],[usu_codigo]]="","",1)</f>
        <v>1</v>
      </c>
    </row>
    <row r="688" spans="1:10" x14ac:dyDescent="0.25">
      <c r="A688">
        <v>1</v>
      </c>
      <c r="B688">
        <v>3</v>
      </c>
      <c r="C688" t="s">
        <v>11</v>
      </c>
      <c r="D688" t="s">
        <v>15</v>
      </c>
      <c r="E688" t="s">
        <v>77</v>
      </c>
      <c r="F688">
        <v>4158</v>
      </c>
      <c r="G688">
        <f>+YEAR(Tabla__192.168.1.8_POSEIDONSQL_APPFVT_01_SQLFacturasRendidas[[#This Row],[f_facturacion]])</f>
        <v>2018</v>
      </c>
      <c r="H68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688">
        <f>+IF(Tabla__192.168.1.8_POSEIDONSQL_APPFVT_01_SQLFacturasRendidas[[#This Row],[epc_nombre]]="RENDIDA",1,0)</f>
        <v>1</v>
      </c>
      <c r="J688">
        <f>+IF(Tabla__192.168.1.8_POSEIDONSQL_APPFVT_01_SQLFacturasRendidas[[#This Row],[usu_codigo]]="","",1)</f>
        <v>1</v>
      </c>
    </row>
    <row r="689" spans="1:10" x14ac:dyDescent="0.25">
      <c r="A689">
        <v>1</v>
      </c>
      <c r="B689">
        <v>3</v>
      </c>
      <c r="C689" t="s">
        <v>11</v>
      </c>
      <c r="D689" t="s">
        <v>15</v>
      </c>
      <c r="E689" t="s">
        <v>77</v>
      </c>
      <c r="F689">
        <v>4159</v>
      </c>
      <c r="G689">
        <f>+YEAR(Tabla__192.168.1.8_POSEIDONSQL_APPFVT_01_SQLFacturasRendidas[[#This Row],[f_facturacion]])</f>
        <v>2018</v>
      </c>
      <c r="H68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689">
        <f>+IF(Tabla__192.168.1.8_POSEIDONSQL_APPFVT_01_SQLFacturasRendidas[[#This Row],[epc_nombre]]="RENDIDA",1,0)</f>
        <v>1</v>
      </c>
      <c r="J689">
        <f>+IF(Tabla__192.168.1.8_POSEIDONSQL_APPFVT_01_SQLFacturasRendidas[[#This Row],[usu_codigo]]="","",1)</f>
        <v>1</v>
      </c>
    </row>
    <row r="690" spans="1:10" x14ac:dyDescent="0.25">
      <c r="A690">
        <v>1</v>
      </c>
      <c r="B690">
        <v>3</v>
      </c>
      <c r="C690" t="s">
        <v>11</v>
      </c>
      <c r="D690" t="s">
        <v>15</v>
      </c>
      <c r="E690" t="s">
        <v>77</v>
      </c>
      <c r="F690">
        <v>4160</v>
      </c>
      <c r="G690">
        <f>+YEAR(Tabla__192.168.1.8_POSEIDONSQL_APPFVT_01_SQLFacturasRendidas[[#This Row],[f_facturacion]])</f>
        <v>2018</v>
      </c>
      <c r="H69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690">
        <f>+IF(Tabla__192.168.1.8_POSEIDONSQL_APPFVT_01_SQLFacturasRendidas[[#This Row],[epc_nombre]]="RENDIDA",1,0)</f>
        <v>1</v>
      </c>
      <c r="J690">
        <f>+IF(Tabla__192.168.1.8_POSEIDONSQL_APPFVT_01_SQLFacturasRendidas[[#This Row],[usu_codigo]]="","",1)</f>
        <v>1</v>
      </c>
    </row>
    <row r="691" spans="1:10" x14ac:dyDescent="0.25">
      <c r="A691">
        <v>1</v>
      </c>
      <c r="B691">
        <v>3</v>
      </c>
      <c r="C691" t="s">
        <v>11</v>
      </c>
      <c r="D691" t="s">
        <v>15</v>
      </c>
      <c r="E691" t="s">
        <v>77</v>
      </c>
      <c r="F691">
        <v>4161</v>
      </c>
      <c r="G691">
        <f>+YEAR(Tabla__192.168.1.8_POSEIDONSQL_APPFVT_01_SQLFacturasRendidas[[#This Row],[f_facturacion]])</f>
        <v>2018</v>
      </c>
      <c r="H69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691">
        <f>+IF(Tabla__192.168.1.8_POSEIDONSQL_APPFVT_01_SQLFacturasRendidas[[#This Row],[epc_nombre]]="RENDIDA",1,0)</f>
        <v>1</v>
      </c>
      <c r="J691">
        <f>+IF(Tabla__192.168.1.8_POSEIDONSQL_APPFVT_01_SQLFacturasRendidas[[#This Row],[usu_codigo]]="","",1)</f>
        <v>1</v>
      </c>
    </row>
    <row r="692" spans="1:10" x14ac:dyDescent="0.25">
      <c r="A692">
        <v>1</v>
      </c>
      <c r="B692">
        <v>3</v>
      </c>
      <c r="C692" t="s">
        <v>11</v>
      </c>
      <c r="D692" t="s">
        <v>15</v>
      </c>
      <c r="E692" t="s">
        <v>77</v>
      </c>
      <c r="F692">
        <v>4162</v>
      </c>
      <c r="G692">
        <f>+YEAR(Tabla__192.168.1.8_POSEIDONSQL_APPFVT_01_SQLFacturasRendidas[[#This Row],[f_facturacion]])</f>
        <v>2018</v>
      </c>
      <c r="H69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692">
        <f>+IF(Tabla__192.168.1.8_POSEIDONSQL_APPFVT_01_SQLFacturasRendidas[[#This Row],[epc_nombre]]="RENDIDA",1,0)</f>
        <v>1</v>
      </c>
      <c r="J692">
        <f>+IF(Tabla__192.168.1.8_POSEIDONSQL_APPFVT_01_SQLFacturasRendidas[[#This Row],[usu_codigo]]="","",1)</f>
        <v>1</v>
      </c>
    </row>
    <row r="693" spans="1:10" x14ac:dyDescent="0.25">
      <c r="A693">
        <v>1</v>
      </c>
      <c r="B693">
        <v>3</v>
      </c>
      <c r="C693" t="s">
        <v>11</v>
      </c>
      <c r="D693" t="s">
        <v>15</v>
      </c>
      <c r="E693" t="s">
        <v>77</v>
      </c>
      <c r="F693">
        <v>4163</v>
      </c>
      <c r="G693">
        <f>+YEAR(Tabla__192.168.1.8_POSEIDONSQL_APPFVT_01_SQLFacturasRendidas[[#This Row],[f_facturacion]])</f>
        <v>2018</v>
      </c>
      <c r="H69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693">
        <f>+IF(Tabla__192.168.1.8_POSEIDONSQL_APPFVT_01_SQLFacturasRendidas[[#This Row],[epc_nombre]]="RENDIDA",1,0)</f>
        <v>1</v>
      </c>
      <c r="J693">
        <f>+IF(Tabla__192.168.1.8_POSEIDONSQL_APPFVT_01_SQLFacturasRendidas[[#This Row],[usu_codigo]]="","",1)</f>
        <v>1</v>
      </c>
    </row>
    <row r="694" spans="1:10" x14ac:dyDescent="0.25">
      <c r="A694">
        <v>1</v>
      </c>
      <c r="B694">
        <v>3</v>
      </c>
      <c r="C694" t="s">
        <v>11</v>
      </c>
      <c r="D694" t="s">
        <v>15</v>
      </c>
      <c r="E694" t="s">
        <v>77</v>
      </c>
      <c r="F694">
        <v>4164</v>
      </c>
      <c r="G694">
        <f>+YEAR(Tabla__192.168.1.8_POSEIDONSQL_APPFVT_01_SQLFacturasRendidas[[#This Row],[f_facturacion]])</f>
        <v>2018</v>
      </c>
      <c r="H69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694">
        <f>+IF(Tabla__192.168.1.8_POSEIDONSQL_APPFVT_01_SQLFacturasRendidas[[#This Row],[epc_nombre]]="RENDIDA",1,0)</f>
        <v>1</v>
      </c>
      <c r="J694">
        <f>+IF(Tabla__192.168.1.8_POSEIDONSQL_APPFVT_01_SQLFacturasRendidas[[#This Row],[usu_codigo]]="","",1)</f>
        <v>1</v>
      </c>
    </row>
    <row r="695" spans="1:10" x14ac:dyDescent="0.25">
      <c r="A695">
        <v>1</v>
      </c>
      <c r="B695">
        <v>3</v>
      </c>
      <c r="C695" t="s">
        <v>11</v>
      </c>
      <c r="D695" t="s">
        <v>15</v>
      </c>
      <c r="E695" t="s">
        <v>44</v>
      </c>
      <c r="F695">
        <v>3528</v>
      </c>
      <c r="G695">
        <f>+YEAR(Tabla__192.168.1.8_POSEIDONSQL_APPFVT_01_SQLFacturasRendidas[[#This Row],[f_facturacion]])</f>
        <v>2018</v>
      </c>
      <c r="H69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695">
        <f>+IF(Tabla__192.168.1.8_POSEIDONSQL_APPFVT_01_SQLFacturasRendidas[[#This Row],[epc_nombre]]="RENDIDA",1,0)</f>
        <v>1</v>
      </c>
      <c r="J695">
        <f>+IF(Tabla__192.168.1.8_POSEIDONSQL_APPFVT_01_SQLFacturasRendidas[[#This Row],[usu_codigo]]="","",1)</f>
        <v>1</v>
      </c>
    </row>
    <row r="696" spans="1:10" x14ac:dyDescent="0.25">
      <c r="A696">
        <v>1</v>
      </c>
      <c r="B696">
        <v>3</v>
      </c>
      <c r="C696" t="s">
        <v>11</v>
      </c>
      <c r="D696" t="s">
        <v>15</v>
      </c>
      <c r="E696" t="s">
        <v>44</v>
      </c>
      <c r="F696">
        <v>3529</v>
      </c>
      <c r="G696">
        <f>+YEAR(Tabla__192.168.1.8_POSEIDONSQL_APPFVT_01_SQLFacturasRendidas[[#This Row],[f_facturacion]])</f>
        <v>2018</v>
      </c>
      <c r="H69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696">
        <f>+IF(Tabla__192.168.1.8_POSEIDONSQL_APPFVT_01_SQLFacturasRendidas[[#This Row],[epc_nombre]]="RENDIDA",1,0)</f>
        <v>1</v>
      </c>
      <c r="J696">
        <f>+IF(Tabla__192.168.1.8_POSEIDONSQL_APPFVT_01_SQLFacturasRendidas[[#This Row],[usu_codigo]]="","",1)</f>
        <v>1</v>
      </c>
    </row>
    <row r="697" spans="1:10" x14ac:dyDescent="0.25">
      <c r="A697">
        <v>1</v>
      </c>
      <c r="B697">
        <v>3</v>
      </c>
      <c r="C697" t="s">
        <v>11</v>
      </c>
      <c r="D697" t="s">
        <v>15</v>
      </c>
      <c r="E697" t="s">
        <v>44</v>
      </c>
      <c r="F697">
        <v>3530</v>
      </c>
      <c r="G697">
        <f>+YEAR(Tabla__192.168.1.8_POSEIDONSQL_APPFVT_01_SQLFacturasRendidas[[#This Row],[f_facturacion]])</f>
        <v>2018</v>
      </c>
      <c r="H69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697">
        <f>+IF(Tabla__192.168.1.8_POSEIDONSQL_APPFVT_01_SQLFacturasRendidas[[#This Row],[epc_nombre]]="RENDIDA",1,0)</f>
        <v>1</v>
      </c>
      <c r="J697">
        <f>+IF(Tabla__192.168.1.8_POSEIDONSQL_APPFVT_01_SQLFacturasRendidas[[#This Row],[usu_codigo]]="","",1)</f>
        <v>1</v>
      </c>
    </row>
    <row r="698" spans="1:10" x14ac:dyDescent="0.25">
      <c r="A698">
        <v>1</v>
      </c>
      <c r="B698">
        <v>3</v>
      </c>
      <c r="C698" t="s">
        <v>11</v>
      </c>
      <c r="D698" t="s">
        <v>15</v>
      </c>
      <c r="E698" t="s">
        <v>44</v>
      </c>
      <c r="F698">
        <v>3531</v>
      </c>
      <c r="G698">
        <f>+YEAR(Tabla__192.168.1.8_POSEIDONSQL_APPFVT_01_SQLFacturasRendidas[[#This Row],[f_facturacion]])</f>
        <v>2018</v>
      </c>
      <c r="H69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698">
        <f>+IF(Tabla__192.168.1.8_POSEIDONSQL_APPFVT_01_SQLFacturasRendidas[[#This Row],[epc_nombre]]="RENDIDA",1,0)</f>
        <v>1</v>
      </c>
      <c r="J698">
        <f>+IF(Tabla__192.168.1.8_POSEIDONSQL_APPFVT_01_SQLFacturasRendidas[[#This Row],[usu_codigo]]="","",1)</f>
        <v>1</v>
      </c>
    </row>
    <row r="699" spans="1:10" x14ac:dyDescent="0.25">
      <c r="A699">
        <v>1</v>
      </c>
      <c r="B699">
        <v>3</v>
      </c>
      <c r="C699" t="s">
        <v>11</v>
      </c>
      <c r="D699" t="s">
        <v>15</v>
      </c>
      <c r="E699" t="s">
        <v>44</v>
      </c>
      <c r="F699">
        <v>3532</v>
      </c>
      <c r="G699">
        <f>+YEAR(Tabla__192.168.1.8_POSEIDONSQL_APPFVT_01_SQLFacturasRendidas[[#This Row],[f_facturacion]])</f>
        <v>2018</v>
      </c>
      <c r="H69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699">
        <f>+IF(Tabla__192.168.1.8_POSEIDONSQL_APPFVT_01_SQLFacturasRendidas[[#This Row],[epc_nombre]]="RENDIDA",1,0)</f>
        <v>1</v>
      </c>
      <c r="J699">
        <f>+IF(Tabla__192.168.1.8_POSEIDONSQL_APPFVT_01_SQLFacturasRendidas[[#This Row],[usu_codigo]]="","",1)</f>
        <v>1</v>
      </c>
    </row>
    <row r="700" spans="1:10" x14ac:dyDescent="0.25">
      <c r="A700">
        <v>1</v>
      </c>
      <c r="B700">
        <v>3</v>
      </c>
      <c r="C700" t="s">
        <v>11</v>
      </c>
      <c r="D700" t="s">
        <v>15</v>
      </c>
      <c r="E700" t="s">
        <v>44</v>
      </c>
      <c r="F700">
        <v>3533</v>
      </c>
      <c r="G700">
        <f>+YEAR(Tabla__192.168.1.8_POSEIDONSQL_APPFVT_01_SQLFacturasRendidas[[#This Row],[f_facturacion]])</f>
        <v>2018</v>
      </c>
      <c r="H70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700">
        <f>+IF(Tabla__192.168.1.8_POSEIDONSQL_APPFVT_01_SQLFacturasRendidas[[#This Row],[epc_nombre]]="RENDIDA",1,0)</f>
        <v>1</v>
      </c>
      <c r="J700">
        <f>+IF(Tabla__192.168.1.8_POSEIDONSQL_APPFVT_01_SQLFacturasRendidas[[#This Row],[usu_codigo]]="","",1)</f>
        <v>1</v>
      </c>
    </row>
    <row r="701" spans="1:10" x14ac:dyDescent="0.25">
      <c r="A701">
        <v>1</v>
      </c>
      <c r="B701">
        <v>3</v>
      </c>
      <c r="C701" t="s">
        <v>11</v>
      </c>
      <c r="D701" t="s">
        <v>15</v>
      </c>
      <c r="E701" t="s">
        <v>44</v>
      </c>
      <c r="F701">
        <v>3534</v>
      </c>
      <c r="G701">
        <f>+YEAR(Tabla__192.168.1.8_POSEIDONSQL_APPFVT_01_SQLFacturasRendidas[[#This Row],[f_facturacion]])</f>
        <v>2018</v>
      </c>
      <c r="H70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701">
        <f>+IF(Tabla__192.168.1.8_POSEIDONSQL_APPFVT_01_SQLFacturasRendidas[[#This Row],[epc_nombre]]="RENDIDA",1,0)</f>
        <v>1</v>
      </c>
      <c r="J701">
        <f>+IF(Tabla__192.168.1.8_POSEIDONSQL_APPFVT_01_SQLFacturasRendidas[[#This Row],[usu_codigo]]="","",1)</f>
        <v>1</v>
      </c>
    </row>
    <row r="702" spans="1:10" x14ac:dyDescent="0.25">
      <c r="A702">
        <v>1</v>
      </c>
      <c r="B702">
        <v>3</v>
      </c>
      <c r="C702" t="s">
        <v>11</v>
      </c>
      <c r="D702" t="s">
        <v>15</v>
      </c>
      <c r="E702" t="s">
        <v>44</v>
      </c>
      <c r="F702">
        <v>3536</v>
      </c>
      <c r="G702">
        <f>+YEAR(Tabla__192.168.1.8_POSEIDONSQL_APPFVT_01_SQLFacturasRendidas[[#This Row],[f_facturacion]])</f>
        <v>2018</v>
      </c>
      <c r="H70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702">
        <f>+IF(Tabla__192.168.1.8_POSEIDONSQL_APPFVT_01_SQLFacturasRendidas[[#This Row],[epc_nombre]]="RENDIDA",1,0)</f>
        <v>1</v>
      </c>
      <c r="J702">
        <f>+IF(Tabla__192.168.1.8_POSEIDONSQL_APPFVT_01_SQLFacturasRendidas[[#This Row],[usu_codigo]]="","",1)</f>
        <v>1</v>
      </c>
    </row>
    <row r="703" spans="1:10" x14ac:dyDescent="0.25">
      <c r="A703">
        <v>1</v>
      </c>
      <c r="B703">
        <v>3</v>
      </c>
      <c r="C703" t="s">
        <v>11</v>
      </c>
      <c r="D703" t="s">
        <v>15</v>
      </c>
      <c r="E703" t="s">
        <v>44</v>
      </c>
      <c r="F703">
        <v>3537</v>
      </c>
      <c r="G703">
        <f>+YEAR(Tabla__192.168.1.8_POSEIDONSQL_APPFVT_01_SQLFacturasRendidas[[#This Row],[f_facturacion]])</f>
        <v>2018</v>
      </c>
      <c r="H70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703">
        <f>+IF(Tabla__192.168.1.8_POSEIDONSQL_APPFVT_01_SQLFacturasRendidas[[#This Row],[epc_nombre]]="RENDIDA",1,0)</f>
        <v>1</v>
      </c>
      <c r="J703">
        <f>+IF(Tabla__192.168.1.8_POSEIDONSQL_APPFVT_01_SQLFacturasRendidas[[#This Row],[usu_codigo]]="","",1)</f>
        <v>1</v>
      </c>
    </row>
    <row r="704" spans="1:10" x14ac:dyDescent="0.25">
      <c r="A704">
        <v>1</v>
      </c>
      <c r="B704">
        <v>3</v>
      </c>
      <c r="C704" t="s">
        <v>11</v>
      </c>
      <c r="D704" t="s">
        <v>15</v>
      </c>
      <c r="E704" t="s">
        <v>44</v>
      </c>
      <c r="F704">
        <v>3538</v>
      </c>
      <c r="G704">
        <f>+YEAR(Tabla__192.168.1.8_POSEIDONSQL_APPFVT_01_SQLFacturasRendidas[[#This Row],[f_facturacion]])</f>
        <v>2018</v>
      </c>
      <c r="H70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704">
        <f>+IF(Tabla__192.168.1.8_POSEIDONSQL_APPFVT_01_SQLFacturasRendidas[[#This Row],[epc_nombre]]="RENDIDA",1,0)</f>
        <v>1</v>
      </c>
      <c r="J704">
        <f>+IF(Tabla__192.168.1.8_POSEIDONSQL_APPFVT_01_SQLFacturasRendidas[[#This Row],[usu_codigo]]="","",1)</f>
        <v>1</v>
      </c>
    </row>
    <row r="705" spans="1:10" x14ac:dyDescent="0.25">
      <c r="A705">
        <v>1</v>
      </c>
      <c r="B705">
        <v>3</v>
      </c>
      <c r="C705" t="s">
        <v>11</v>
      </c>
      <c r="D705" t="s">
        <v>15</v>
      </c>
      <c r="E705" t="s">
        <v>44</v>
      </c>
      <c r="F705">
        <v>3539</v>
      </c>
      <c r="G705">
        <f>+YEAR(Tabla__192.168.1.8_POSEIDONSQL_APPFVT_01_SQLFacturasRendidas[[#This Row],[f_facturacion]])</f>
        <v>2018</v>
      </c>
      <c r="H70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705">
        <f>+IF(Tabla__192.168.1.8_POSEIDONSQL_APPFVT_01_SQLFacturasRendidas[[#This Row],[epc_nombre]]="RENDIDA",1,0)</f>
        <v>1</v>
      </c>
      <c r="J705">
        <f>+IF(Tabla__192.168.1.8_POSEIDONSQL_APPFVT_01_SQLFacturasRendidas[[#This Row],[usu_codigo]]="","",1)</f>
        <v>1</v>
      </c>
    </row>
    <row r="706" spans="1:10" x14ac:dyDescent="0.25">
      <c r="A706">
        <v>1</v>
      </c>
      <c r="B706">
        <v>3</v>
      </c>
      <c r="C706" t="s">
        <v>11</v>
      </c>
      <c r="D706" t="s">
        <v>15</v>
      </c>
      <c r="E706" t="s">
        <v>44</v>
      </c>
      <c r="F706">
        <v>3540</v>
      </c>
      <c r="G706">
        <f>+YEAR(Tabla__192.168.1.8_POSEIDONSQL_APPFVT_01_SQLFacturasRendidas[[#This Row],[f_facturacion]])</f>
        <v>2018</v>
      </c>
      <c r="H70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706">
        <f>+IF(Tabla__192.168.1.8_POSEIDONSQL_APPFVT_01_SQLFacturasRendidas[[#This Row],[epc_nombre]]="RENDIDA",1,0)</f>
        <v>1</v>
      </c>
      <c r="J706">
        <f>+IF(Tabla__192.168.1.8_POSEIDONSQL_APPFVT_01_SQLFacturasRendidas[[#This Row],[usu_codigo]]="","",1)</f>
        <v>1</v>
      </c>
    </row>
    <row r="707" spans="1:10" x14ac:dyDescent="0.25">
      <c r="A707">
        <v>1</v>
      </c>
      <c r="B707">
        <v>3</v>
      </c>
      <c r="C707" t="s">
        <v>11</v>
      </c>
      <c r="D707" t="s">
        <v>15</v>
      </c>
      <c r="E707" t="s">
        <v>44</v>
      </c>
      <c r="F707">
        <v>3541</v>
      </c>
      <c r="G707">
        <f>+YEAR(Tabla__192.168.1.8_POSEIDONSQL_APPFVT_01_SQLFacturasRendidas[[#This Row],[f_facturacion]])</f>
        <v>2018</v>
      </c>
      <c r="H70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707">
        <f>+IF(Tabla__192.168.1.8_POSEIDONSQL_APPFVT_01_SQLFacturasRendidas[[#This Row],[epc_nombre]]="RENDIDA",1,0)</f>
        <v>1</v>
      </c>
      <c r="J707">
        <f>+IF(Tabla__192.168.1.8_POSEIDONSQL_APPFVT_01_SQLFacturasRendidas[[#This Row],[usu_codigo]]="","",1)</f>
        <v>1</v>
      </c>
    </row>
    <row r="708" spans="1:10" x14ac:dyDescent="0.25">
      <c r="A708">
        <v>1</v>
      </c>
      <c r="B708">
        <v>3</v>
      </c>
      <c r="C708" t="s">
        <v>11</v>
      </c>
      <c r="D708" t="s">
        <v>15</v>
      </c>
      <c r="E708" t="s">
        <v>44</v>
      </c>
      <c r="F708">
        <v>3542</v>
      </c>
      <c r="G708">
        <f>+YEAR(Tabla__192.168.1.8_POSEIDONSQL_APPFVT_01_SQLFacturasRendidas[[#This Row],[f_facturacion]])</f>
        <v>2018</v>
      </c>
      <c r="H70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708">
        <f>+IF(Tabla__192.168.1.8_POSEIDONSQL_APPFVT_01_SQLFacturasRendidas[[#This Row],[epc_nombre]]="RENDIDA",1,0)</f>
        <v>1</v>
      </c>
      <c r="J708">
        <f>+IF(Tabla__192.168.1.8_POSEIDONSQL_APPFVT_01_SQLFacturasRendidas[[#This Row],[usu_codigo]]="","",1)</f>
        <v>1</v>
      </c>
    </row>
    <row r="709" spans="1:10" x14ac:dyDescent="0.25">
      <c r="A709">
        <v>1</v>
      </c>
      <c r="B709">
        <v>3</v>
      </c>
      <c r="C709" t="s">
        <v>11</v>
      </c>
      <c r="D709" t="s">
        <v>15</v>
      </c>
      <c r="E709" t="s">
        <v>44</v>
      </c>
      <c r="F709">
        <v>3543</v>
      </c>
      <c r="G709">
        <f>+YEAR(Tabla__192.168.1.8_POSEIDONSQL_APPFVT_01_SQLFacturasRendidas[[#This Row],[f_facturacion]])</f>
        <v>2018</v>
      </c>
      <c r="H70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709">
        <f>+IF(Tabla__192.168.1.8_POSEIDONSQL_APPFVT_01_SQLFacturasRendidas[[#This Row],[epc_nombre]]="RENDIDA",1,0)</f>
        <v>1</v>
      </c>
      <c r="J709">
        <f>+IF(Tabla__192.168.1.8_POSEIDONSQL_APPFVT_01_SQLFacturasRendidas[[#This Row],[usu_codigo]]="","",1)</f>
        <v>1</v>
      </c>
    </row>
    <row r="710" spans="1:10" x14ac:dyDescent="0.25">
      <c r="A710">
        <v>1</v>
      </c>
      <c r="B710">
        <v>3</v>
      </c>
      <c r="C710" t="s">
        <v>11</v>
      </c>
      <c r="D710" t="s">
        <v>15</v>
      </c>
      <c r="E710" t="s">
        <v>44</v>
      </c>
      <c r="F710">
        <v>3544</v>
      </c>
      <c r="G710">
        <f>+YEAR(Tabla__192.168.1.8_POSEIDONSQL_APPFVT_01_SQLFacturasRendidas[[#This Row],[f_facturacion]])</f>
        <v>2018</v>
      </c>
      <c r="H71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710">
        <f>+IF(Tabla__192.168.1.8_POSEIDONSQL_APPFVT_01_SQLFacturasRendidas[[#This Row],[epc_nombre]]="RENDIDA",1,0)</f>
        <v>1</v>
      </c>
      <c r="J710">
        <f>+IF(Tabla__192.168.1.8_POSEIDONSQL_APPFVT_01_SQLFacturasRendidas[[#This Row],[usu_codigo]]="","",1)</f>
        <v>1</v>
      </c>
    </row>
    <row r="711" spans="1:10" x14ac:dyDescent="0.25">
      <c r="A711">
        <v>1</v>
      </c>
      <c r="B711">
        <v>3</v>
      </c>
      <c r="C711" t="s">
        <v>11</v>
      </c>
      <c r="D711" t="s">
        <v>15</v>
      </c>
      <c r="E711" t="s">
        <v>44</v>
      </c>
      <c r="F711">
        <v>3545</v>
      </c>
      <c r="G711">
        <f>+YEAR(Tabla__192.168.1.8_POSEIDONSQL_APPFVT_01_SQLFacturasRendidas[[#This Row],[f_facturacion]])</f>
        <v>2018</v>
      </c>
      <c r="H71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711">
        <f>+IF(Tabla__192.168.1.8_POSEIDONSQL_APPFVT_01_SQLFacturasRendidas[[#This Row],[epc_nombre]]="RENDIDA",1,0)</f>
        <v>1</v>
      </c>
      <c r="J711">
        <f>+IF(Tabla__192.168.1.8_POSEIDONSQL_APPFVT_01_SQLFacturasRendidas[[#This Row],[usu_codigo]]="","",1)</f>
        <v>1</v>
      </c>
    </row>
    <row r="712" spans="1:10" x14ac:dyDescent="0.25">
      <c r="A712">
        <v>1</v>
      </c>
      <c r="B712">
        <v>3</v>
      </c>
      <c r="C712" t="s">
        <v>11</v>
      </c>
      <c r="D712" t="s">
        <v>15</v>
      </c>
      <c r="E712" t="s">
        <v>44</v>
      </c>
      <c r="F712">
        <v>3546</v>
      </c>
      <c r="G712">
        <f>+YEAR(Tabla__192.168.1.8_POSEIDONSQL_APPFVT_01_SQLFacturasRendidas[[#This Row],[f_facturacion]])</f>
        <v>2018</v>
      </c>
      <c r="H71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712">
        <f>+IF(Tabla__192.168.1.8_POSEIDONSQL_APPFVT_01_SQLFacturasRendidas[[#This Row],[epc_nombre]]="RENDIDA",1,0)</f>
        <v>1</v>
      </c>
      <c r="J712">
        <f>+IF(Tabla__192.168.1.8_POSEIDONSQL_APPFVT_01_SQLFacturasRendidas[[#This Row],[usu_codigo]]="","",1)</f>
        <v>1</v>
      </c>
    </row>
    <row r="713" spans="1:10" x14ac:dyDescent="0.25">
      <c r="A713">
        <v>1</v>
      </c>
      <c r="B713">
        <v>3</v>
      </c>
      <c r="C713" t="s">
        <v>11</v>
      </c>
      <c r="D713" t="s">
        <v>15</v>
      </c>
      <c r="E713" t="s">
        <v>44</v>
      </c>
      <c r="F713">
        <v>3547</v>
      </c>
      <c r="G713">
        <f>+YEAR(Tabla__192.168.1.8_POSEIDONSQL_APPFVT_01_SQLFacturasRendidas[[#This Row],[f_facturacion]])</f>
        <v>2018</v>
      </c>
      <c r="H71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713">
        <f>+IF(Tabla__192.168.1.8_POSEIDONSQL_APPFVT_01_SQLFacturasRendidas[[#This Row],[epc_nombre]]="RENDIDA",1,0)</f>
        <v>1</v>
      </c>
      <c r="J713">
        <f>+IF(Tabla__192.168.1.8_POSEIDONSQL_APPFVT_01_SQLFacturasRendidas[[#This Row],[usu_codigo]]="","",1)</f>
        <v>1</v>
      </c>
    </row>
    <row r="714" spans="1:10" x14ac:dyDescent="0.25">
      <c r="A714">
        <v>1</v>
      </c>
      <c r="B714">
        <v>3</v>
      </c>
      <c r="C714" t="s">
        <v>11</v>
      </c>
      <c r="D714" t="s">
        <v>15</v>
      </c>
      <c r="E714" t="s">
        <v>44</v>
      </c>
      <c r="F714">
        <v>3548</v>
      </c>
      <c r="G714">
        <f>+YEAR(Tabla__192.168.1.8_POSEIDONSQL_APPFVT_01_SQLFacturasRendidas[[#This Row],[f_facturacion]])</f>
        <v>2018</v>
      </c>
      <c r="H71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714">
        <f>+IF(Tabla__192.168.1.8_POSEIDONSQL_APPFVT_01_SQLFacturasRendidas[[#This Row],[epc_nombre]]="RENDIDA",1,0)</f>
        <v>1</v>
      </c>
      <c r="J714">
        <f>+IF(Tabla__192.168.1.8_POSEIDONSQL_APPFVT_01_SQLFacturasRendidas[[#This Row],[usu_codigo]]="","",1)</f>
        <v>1</v>
      </c>
    </row>
    <row r="715" spans="1:10" x14ac:dyDescent="0.25">
      <c r="A715">
        <v>1</v>
      </c>
      <c r="B715">
        <v>3</v>
      </c>
      <c r="C715" t="s">
        <v>11</v>
      </c>
      <c r="D715" t="s">
        <v>15</v>
      </c>
      <c r="E715" t="s">
        <v>44</v>
      </c>
      <c r="F715">
        <v>3549</v>
      </c>
      <c r="G715">
        <f>+YEAR(Tabla__192.168.1.8_POSEIDONSQL_APPFVT_01_SQLFacturasRendidas[[#This Row],[f_facturacion]])</f>
        <v>2018</v>
      </c>
      <c r="H71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715">
        <f>+IF(Tabla__192.168.1.8_POSEIDONSQL_APPFVT_01_SQLFacturasRendidas[[#This Row],[epc_nombre]]="RENDIDA",1,0)</f>
        <v>1</v>
      </c>
      <c r="J715">
        <f>+IF(Tabla__192.168.1.8_POSEIDONSQL_APPFVT_01_SQLFacturasRendidas[[#This Row],[usu_codigo]]="","",1)</f>
        <v>1</v>
      </c>
    </row>
    <row r="716" spans="1:10" x14ac:dyDescent="0.25">
      <c r="A716">
        <v>1</v>
      </c>
      <c r="B716">
        <v>3</v>
      </c>
      <c r="C716" t="s">
        <v>11</v>
      </c>
      <c r="D716" t="s">
        <v>15</v>
      </c>
      <c r="E716" t="s">
        <v>44</v>
      </c>
      <c r="F716">
        <v>3550</v>
      </c>
      <c r="G716">
        <f>+YEAR(Tabla__192.168.1.8_POSEIDONSQL_APPFVT_01_SQLFacturasRendidas[[#This Row],[f_facturacion]])</f>
        <v>2018</v>
      </c>
      <c r="H71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716">
        <f>+IF(Tabla__192.168.1.8_POSEIDONSQL_APPFVT_01_SQLFacturasRendidas[[#This Row],[epc_nombre]]="RENDIDA",1,0)</f>
        <v>1</v>
      </c>
      <c r="J716">
        <f>+IF(Tabla__192.168.1.8_POSEIDONSQL_APPFVT_01_SQLFacturasRendidas[[#This Row],[usu_codigo]]="","",1)</f>
        <v>1</v>
      </c>
    </row>
    <row r="717" spans="1:10" x14ac:dyDescent="0.25">
      <c r="A717">
        <v>1</v>
      </c>
      <c r="B717">
        <v>3</v>
      </c>
      <c r="C717" t="s">
        <v>11</v>
      </c>
      <c r="D717" t="s">
        <v>15</v>
      </c>
      <c r="E717" t="s">
        <v>44</v>
      </c>
      <c r="F717">
        <v>3551</v>
      </c>
      <c r="G717">
        <f>+YEAR(Tabla__192.168.1.8_POSEIDONSQL_APPFVT_01_SQLFacturasRendidas[[#This Row],[f_facturacion]])</f>
        <v>2018</v>
      </c>
      <c r="H71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717">
        <f>+IF(Tabla__192.168.1.8_POSEIDONSQL_APPFVT_01_SQLFacturasRendidas[[#This Row],[epc_nombre]]="RENDIDA",1,0)</f>
        <v>1</v>
      </c>
      <c r="J717">
        <f>+IF(Tabla__192.168.1.8_POSEIDONSQL_APPFVT_01_SQLFacturasRendidas[[#This Row],[usu_codigo]]="","",1)</f>
        <v>1</v>
      </c>
    </row>
    <row r="718" spans="1:10" x14ac:dyDescent="0.25">
      <c r="A718">
        <v>1</v>
      </c>
      <c r="B718">
        <v>3</v>
      </c>
      <c r="C718" t="s">
        <v>11</v>
      </c>
      <c r="D718" t="s">
        <v>15</v>
      </c>
      <c r="E718" t="s">
        <v>44</v>
      </c>
      <c r="F718">
        <v>3552</v>
      </c>
      <c r="G718">
        <f>+YEAR(Tabla__192.168.1.8_POSEIDONSQL_APPFVT_01_SQLFacturasRendidas[[#This Row],[f_facturacion]])</f>
        <v>2018</v>
      </c>
      <c r="H71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718">
        <f>+IF(Tabla__192.168.1.8_POSEIDONSQL_APPFVT_01_SQLFacturasRendidas[[#This Row],[epc_nombre]]="RENDIDA",1,0)</f>
        <v>1</v>
      </c>
      <c r="J718">
        <f>+IF(Tabla__192.168.1.8_POSEIDONSQL_APPFVT_01_SQLFacturasRendidas[[#This Row],[usu_codigo]]="","",1)</f>
        <v>1</v>
      </c>
    </row>
    <row r="719" spans="1:10" x14ac:dyDescent="0.25">
      <c r="A719">
        <v>1</v>
      </c>
      <c r="B719">
        <v>3</v>
      </c>
      <c r="C719" t="s">
        <v>11</v>
      </c>
      <c r="D719" t="s">
        <v>15</v>
      </c>
      <c r="E719" t="s">
        <v>44</v>
      </c>
      <c r="F719">
        <v>3553</v>
      </c>
      <c r="G719">
        <f>+YEAR(Tabla__192.168.1.8_POSEIDONSQL_APPFVT_01_SQLFacturasRendidas[[#This Row],[f_facturacion]])</f>
        <v>2018</v>
      </c>
      <c r="H71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719">
        <f>+IF(Tabla__192.168.1.8_POSEIDONSQL_APPFVT_01_SQLFacturasRendidas[[#This Row],[epc_nombre]]="RENDIDA",1,0)</f>
        <v>1</v>
      </c>
      <c r="J719">
        <f>+IF(Tabla__192.168.1.8_POSEIDONSQL_APPFVT_01_SQLFacturasRendidas[[#This Row],[usu_codigo]]="","",1)</f>
        <v>1</v>
      </c>
    </row>
    <row r="720" spans="1:10" x14ac:dyDescent="0.25">
      <c r="A720">
        <v>1</v>
      </c>
      <c r="B720">
        <v>3</v>
      </c>
      <c r="C720" t="s">
        <v>11</v>
      </c>
      <c r="D720" t="s">
        <v>15</v>
      </c>
      <c r="E720" t="s">
        <v>44</v>
      </c>
      <c r="F720">
        <v>3554</v>
      </c>
      <c r="G720">
        <f>+YEAR(Tabla__192.168.1.8_POSEIDONSQL_APPFVT_01_SQLFacturasRendidas[[#This Row],[f_facturacion]])</f>
        <v>2018</v>
      </c>
      <c r="H72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720">
        <f>+IF(Tabla__192.168.1.8_POSEIDONSQL_APPFVT_01_SQLFacturasRendidas[[#This Row],[epc_nombre]]="RENDIDA",1,0)</f>
        <v>1</v>
      </c>
      <c r="J720">
        <f>+IF(Tabla__192.168.1.8_POSEIDONSQL_APPFVT_01_SQLFacturasRendidas[[#This Row],[usu_codigo]]="","",1)</f>
        <v>1</v>
      </c>
    </row>
    <row r="721" spans="1:10" x14ac:dyDescent="0.25">
      <c r="A721">
        <v>1</v>
      </c>
      <c r="B721">
        <v>3</v>
      </c>
      <c r="C721" t="s">
        <v>11</v>
      </c>
      <c r="D721" t="s">
        <v>15</v>
      </c>
      <c r="E721" t="s">
        <v>44</v>
      </c>
      <c r="F721">
        <v>3555</v>
      </c>
      <c r="G721">
        <f>+YEAR(Tabla__192.168.1.8_POSEIDONSQL_APPFVT_01_SQLFacturasRendidas[[#This Row],[f_facturacion]])</f>
        <v>2018</v>
      </c>
      <c r="H72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721">
        <f>+IF(Tabla__192.168.1.8_POSEIDONSQL_APPFVT_01_SQLFacturasRendidas[[#This Row],[epc_nombre]]="RENDIDA",1,0)</f>
        <v>1</v>
      </c>
      <c r="J721">
        <f>+IF(Tabla__192.168.1.8_POSEIDONSQL_APPFVT_01_SQLFacturasRendidas[[#This Row],[usu_codigo]]="","",1)</f>
        <v>1</v>
      </c>
    </row>
    <row r="722" spans="1:10" x14ac:dyDescent="0.25">
      <c r="A722">
        <v>1</v>
      </c>
      <c r="B722">
        <v>3</v>
      </c>
      <c r="C722" t="s">
        <v>11</v>
      </c>
      <c r="D722" t="s">
        <v>15</v>
      </c>
      <c r="E722" t="s">
        <v>44</v>
      </c>
      <c r="F722">
        <v>3556</v>
      </c>
      <c r="G722">
        <f>+YEAR(Tabla__192.168.1.8_POSEIDONSQL_APPFVT_01_SQLFacturasRendidas[[#This Row],[f_facturacion]])</f>
        <v>2018</v>
      </c>
      <c r="H72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722">
        <f>+IF(Tabla__192.168.1.8_POSEIDONSQL_APPFVT_01_SQLFacturasRendidas[[#This Row],[epc_nombre]]="RENDIDA",1,0)</f>
        <v>1</v>
      </c>
      <c r="J722">
        <f>+IF(Tabla__192.168.1.8_POSEIDONSQL_APPFVT_01_SQLFacturasRendidas[[#This Row],[usu_codigo]]="","",1)</f>
        <v>1</v>
      </c>
    </row>
    <row r="723" spans="1:10" x14ac:dyDescent="0.25">
      <c r="A723">
        <v>1</v>
      </c>
      <c r="B723">
        <v>3</v>
      </c>
      <c r="C723" t="s">
        <v>11</v>
      </c>
      <c r="D723" t="s">
        <v>15</v>
      </c>
      <c r="E723" t="s">
        <v>44</v>
      </c>
      <c r="F723">
        <v>3557</v>
      </c>
      <c r="G723">
        <f>+YEAR(Tabla__192.168.1.8_POSEIDONSQL_APPFVT_01_SQLFacturasRendidas[[#This Row],[f_facturacion]])</f>
        <v>2018</v>
      </c>
      <c r="H72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723">
        <f>+IF(Tabla__192.168.1.8_POSEIDONSQL_APPFVT_01_SQLFacturasRendidas[[#This Row],[epc_nombre]]="RENDIDA",1,0)</f>
        <v>1</v>
      </c>
      <c r="J723">
        <f>+IF(Tabla__192.168.1.8_POSEIDONSQL_APPFVT_01_SQLFacturasRendidas[[#This Row],[usu_codigo]]="","",1)</f>
        <v>1</v>
      </c>
    </row>
    <row r="724" spans="1:10" x14ac:dyDescent="0.25">
      <c r="A724">
        <v>1</v>
      </c>
      <c r="B724">
        <v>3</v>
      </c>
      <c r="C724" t="s">
        <v>11</v>
      </c>
      <c r="D724" t="s">
        <v>15</v>
      </c>
      <c r="E724" t="s">
        <v>44</v>
      </c>
      <c r="F724">
        <v>3558</v>
      </c>
      <c r="G724">
        <f>+YEAR(Tabla__192.168.1.8_POSEIDONSQL_APPFVT_01_SQLFacturasRendidas[[#This Row],[f_facturacion]])</f>
        <v>2018</v>
      </c>
      <c r="H72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724">
        <f>+IF(Tabla__192.168.1.8_POSEIDONSQL_APPFVT_01_SQLFacturasRendidas[[#This Row],[epc_nombre]]="RENDIDA",1,0)</f>
        <v>1</v>
      </c>
      <c r="J724">
        <f>+IF(Tabla__192.168.1.8_POSEIDONSQL_APPFVT_01_SQLFacturasRendidas[[#This Row],[usu_codigo]]="","",1)</f>
        <v>1</v>
      </c>
    </row>
    <row r="725" spans="1:10" x14ac:dyDescent="0.25">
      <c r="A725">
        <v>1</v>
      </c>
      <c r="B725">
        <v>3</v>
      </c>
      <c r="C725" t="s">
        <v>11</v>
      </c>
      <c r="D725" t="s">
        <v>15</v>
      </c>
      <c r="E725" t="s">
        <v>44</v>
      </c>
      <c r="F725">
        <v>3559</v>
      </c>
      <c r="G725">
        <f>+YEAR(Tabla__192.168.1.8_POSEIDONSQL_APPFVT_01_SQLFacturasRendidas[[#This Row],[f_facturacion]])</f>
        <v>2018</v>
      </c>
      <c r="H72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725">
        <f>+IF(Tabla__192.168.1.8_POSEIDONSQL_APPFVT_01_SQLFacturasRendidas[[#This Row],[epc_nombre]]="RENDIDA",1,0)</f>
        <v>1</v>
      </c>
      <c r="J725">
        <f>+IF(Tabla__192.168.1.8_POSEIDONSQL_APPFVT_01_SQLFacturasRendidas[[#This Row],[usu_codigo]]="","",1)</f>
        <v>1</v>
      </c>
    </row>
    <row r="726" spans="1:10" x14ac:dyDescent="0.25">
      <c r="A726">
        <v>1</v>
      </c>
      <c r="B726">
        <v>3</v>
      </c>
      <c r="C726" t="s">
        <v>11</v>
      </c>
      <c r="D726" t="s">
        <v>15</v>
      </c>
      <c r="E726" t="s">
        <v>44</v>
      </c>
      <c r="F726">
        <v>3560</v>
      </c>
      <c r="G726">
        <f>+YEAR(Tabla__192.168.1.8_POSEIDONSQL_APPFVT_01_SQLFacturasRendidas[[#This Row],[f_facturacion]])</f>
        <v>2018</v>
      </c>
      <c r="H72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726">
        <f>+IF(Tabla__192.168.1.8_POSEIDONSQL_APPFVT_01_SQLFacturasRendidas[[#This Row],[epc_nombre]]="RENDIDA",1,0)</f>
        <v>1</v>
      </c>
      <c r="J726">
        <f>+IF(Tabla__192.168.1.8_POSEIDONSQL_APPFVT_01_SQLFacturasRendidas[[#This Row],[usu_codigo]]="","",1)</f>
        <v>1</v>
      </c>
    </row>
    <row r="727" spans="1:10" x14ac:dyDescent="0.25">
      <c r="A727">
        <v>1</v>
      </c>
      <c r="B727">
        <v>3</v>
      </c>
      <c r="C727" t="s">
        <v>11</v>
      </c>
      <c r="D727" t="s">
        <v>15</v>
      </c>
      <c r="E727" t="s">
        <v>44</v>
      </c>
      <c r="F727">
        <v>3561</v>
      </c>
      <c r="G727">
        <f>+YEAR(Tabla__192.168.1.8_POSEIDONSQL_APPFVT_01_SQLFacturasRendidas[[#This Row],[f_facturacion]])</f>
        <v>2018</v>
      </c>
      <c r="H72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727">
        <f>+IF(Tabla__192.168.1.8_POSEIDONSQL_APPFVT_01_SQLFacturasRendidas[[#This Row],[epc_nombre]]="RENDIDA",1,0)</f>
        <v>1</v>
      </c>
      <c r="J727">
        <f>+IF(Tabla__192.168.1.8_POSEIDONSQL_APPFVT_01_SQLFacturasRendidas[[#This Row],[usu_codigo]]="","",1)</f>
        <v>1</v>
      </c>
    </row>
    <row r="728" spans="1:10" x14ac:dyDescent="0.25">
      <c r="A728">
        <v>1</v>
      </c>
      <c r="B728">
        <v>3</v>
      </c>
      <c r="C728" t="s">
        <v>11</v>
      </c>
      <c r="D728" t="s">
        <v>15</v>
      </c>
      <c r="E728" t="s">
        <v>44</v>
      </c>
      <c r="F728">
        <v>3562</v>
      </c>
      <c r="G728">
        <f>+YEAR(Tabla__192.168.1.8_POSEIDONSQL_APPFVT_01_SQLFacturasRendidas[[#This Row],[f_facturacion]])</f>
        <v>2018</v>
      </c>
      <c r="H72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728">
        <f>+IF(Tabla__192.168.1.8_POSEIDONSQL_APPFVT_01_SQLFacturasRendidas[[#This Row],[epc_nombre]]="RENDIDA",1,0)</f>
        <v>1</v>
      </c>
      <c r="J728">
        <f>+IF(Tabla__192.168.1.8_POSEIDONSQL_APPFVT_01_SQLFacturasRendidas[[#This Row],[usu_codigo]]="","",1)</f>
        <v>1</v>
      </c>
    </row>
    <row r="729" spans="1:10" x14ac:dyDescent="0.25">
      <c r="A729">
        <v>1</v>
      </c>
      <c r="B729">
        <v>3</v>
      </c>
      <c r="C729" t="s">
        <v>11</v>
      </c>
      <c r="D729" t="s">
        <v>15</v>
      </c>
      <c r="E729" t="s">
        <v>44</v>
      </c>
      <c r="F729">
        <v>3563</v>
      </c>
      <c r="G729">
        <f>+YEAR(Tabla__192.168.1.8_POSEIDONSQL_APPFVT_01_SQLFacturasRendidas[[#This Row],[f_facturacion]])</f>
        <v>2018</v>
      </c>
      <c r="H72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729">
        <f>+IF(Tabla__192.168.1.8_POSEIDONSQL_APPFVT_01_SQLFacturasRendidas[[#This Row],[epc_nombre]]="RENDIDA",1,0)</f>
        <v>1</v>
      </c>
      <c r="J729">
        <f>+IF(Tabla__192.168.1.8_POSEIDONSQL_APPFVT_01_SQLFacturasRendidas[[#This Row],[usu_codigo]]="","",1)</f>
        <v>1</v>
      </c>
    </row>
    <row r="730" spans="1:10" x14ac:dyDescent="0.25">
      <c r="A730">
        <v>1</v>
      </c>
      <c r="B730">
        <v>3</v>
      </c>
      <c r="C730" t="s">
        <v>11</v>
      </c>
      <c r="D730" t="s">
        <v>15</v>
      </c>
      <c r="E730" t="s">
        <v>19</v>
      </c>
      <c r="F730">
        <v>3564</v>
      </c>
      <c r="G730">
        <f>+YEAR(Tabla__192.168.1.8_POSEIDONSQL_APPFVT_01_SQLFacturasRendidas[[#This Row],[f_facturacion]])</f>
        <v>2018</v>
      </c>
      <c r="H73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730">
        <f>+IF(Tabla__192.168.1.8_POSEIDONSQL_APPFVT_01_SQLFacturasRendidas[[#This Row],[epc_nombre]]="RENDIDA",1,0)</f>
        <v>1</v>
      </c>
      <c r="J730">
        <f>+IF(Tabla__192.168.1.8_POSEIDONSQL_APPFVT_01_SQLFacturasRendidas[[#This Row],[usu_codigo]]="","",1)</f>
        <v>1</v>
      </c>
    </row>
    <row r="731" spans="1:10" x14ac:dyDescent="0.25">
      <c r="A731">
        <v>1</v>
      </c>
      <c r="B731">
        <v>3</v>
      </c>
      <c r="C731" t="s">
        <v>11</v>
      </c>
      <c r="D731" t="s">
        <v>15</v>
      </c>
      <c r="E731" t="s">
        <v>45</v>
      </c>
      <c r="F731">
        <v>3565</v>
      </c>
      <c r="G731">
        <f>+YEAR(Tabla__192.168.1.8_POSEIDONSQL_APPFVT_01_SQLFacturasRendidas[[#This Row],[f_facturacion]])</f>
        <v>2018</v>
      </c>
      <c r="H73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731">
        <f>+IF(Tabla__192.168.1.8_POSEIDONSQL_APPFVT_01_SQLFacturasRendidas[[#This Row],[epc_nombre]]="RENDIDA",1,0)</f>
        <v>1</v>
      </c>
      <c r="J731">
        <f>+IF(Tabla__192.168.1.8_POSEIDONSQL_APPFVT_01_SQLFacturasRendidas[[#This Row],[usu_codigo]]="","",1)</f>
        <v>1</v>
      </c>
    </row>
    <row r="732" spans="1:10" x14ac:dyDescent="0.25">
      <c r="A732">
        <v>1</v>
      </c>
      <c r="B732">
        <v>3</v>
      </c>
      <c r="C732" t="s">
        <v>11</v>
      </c>
      <c r="D732" t="s">
        <v>15</v>
      </c>
      <c r="E732" t="s">
        <v>45</v>
      </c>
      <c r="F732">
        <v>3566</v>
      </c>
      <c r="G732">
        <f>+YEAR(Tabla__192.168.1.8_POSEIDONSQL_APPFVT_01_SQLFacturasRendidas[[#This Row],[f_facturacion]])</f>
        <v>2018</v>
      </c>
      <c r="H73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732">
        <f>+IF(Tabla__192.168.1.8_POSEIDONSQL_APPFVT_01_SQLFacturasRendidas[[#This Row],[epc_nombre]]="RENDIDA",1,0)</f>
        <v>1</v>
      </c>
      <c r="J732">
        <f>+IF(Tabla__192.168.1.8_POSEIDONSQL_APPFVT_01_SQLFacturasRendidas[[#This Row],[usu_codigo]]="","",1)</f>
        <v>1</v>
      </c>
    </row>
    <row r="733" spans="1:10" x14ac:dyDescent="0.25">
      <c r="A733">
        <v>1</v>
      </c>
      <c r="B733">
        <v>3</v>
      </c>
      <c r="C733" t="s">
        <v>11</v>
      </c>
      <c r="D733" t="s">
        <v>15</v>
      </c>
      <c r="E733" t="s">
        <v>45</v>
      </c>
      <c r="F733">
        <v>3567</v>
      </c>
      <c r="G733">
        <f>+YEAR(Tabla__192.168.1.8_POSEIDONSQL_APPFVT_01_SQLFacturasRendidas[[#This Row],[f_facturacion]])</f>
        <v>2018</v>
      </c>
      <c r="H73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733">
        <f>+IF(Tabla__192.168.1.8_POSEIDONSQL_APPFVT_01_SQLFacturasRendidas[[#This Row],[epc_nombre]]="RENDIDA",1,0)</f>
        <v>1</v>
      </c>
      <c r="J733">
        <f>+IF(Tabla__192.168.1.8_POSEIDONSQL_APPFVT_01_SQLFacturasRendidas[[#This Row],[usu_codigo]]="","",1)</f>
        <v>1</v>
      </c>
    </row>
    <row r="734" spans="1:10" x14ac:dyDescent="0.25">
      <c r="A734">
        <v>1</v>
      </c>
      <c r="B734">
        <v>3</v>
      </c>
      <c r="C734" t="s">
        <v>11</v>
      </c>
      <c r="D734" t="s">
        <v>15</v>
      </c>
      <c r="E734" t="s">
        <v>20</v>
      </c>
      <c r="F734">
        <v>3571</v>
      </c>
      <c r="G734">
        <f>+YEAR(Tabla__192.168.1.8_POSEIDONSQL_APPFVT_01_SQLFacturasRendidas[[#This Row],[f_facturacion]])</f>
        <v>2018</v>
      </c>
      <c r="H73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734">
        <f>+IF(Tabla__192.168.1.8_POSEIDONSQL_APPFVT_01_SQLFacturasRendidas[[#This Row],[epc_nombre]]="RENDIDA",1,0)</f>
        <v>1</v>
      </c>
      <c r="J734">
        <f>+IF(Tabla__192.168.1.8_POSEIDONSQL_APPFVT_01_SQLFacturasRendidas[[#This Row],[usu_codigo]]="","",1)</f>
        <v>1</v>
      </c>
    </row>
    <row r="735" spans="1:10" x14ac:dyDescent="0.25">
      <c r="A735">
        <v>1</v>
      </c>
      <c r="B735">
        <v>3</v>
      </c>
      <c r="C735" t="s">
        <v>11</v>
      </c>
      <c r="D735" t="s">
        <v>15</v>
      </c>
      <c r="E735" t="s">
        <v>22</v>
      </c>
      <c r="F735">
        <v>3572</v>
      </c>
      <c r="G735">
        <f>+YEAR(Tabla__192.168.1.8_POSEIDONSQL_APPFVT_01_SQLFacturasRendidas[[#This Row],[f_facturacion]])</f>
        <v>2018</v>
      </c>
      <c r="H73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735">
        <f>+IF(Tabla__192.168.1.8_POSEIDONSQL_APPFVT_01_SQLFacturasRendidas[[#This Row],[epc_nombre]]="RENDIDA",1,0)</f>
        <v>1</v>
      </c>
      <c r="J735">
        <f>+IF(Tabla__192.168.1.8_POSEIDONSQL_APPFVT_01_SQLFacturasRendidas[[#This Row],[usu_codigo]]="","",1)</f>
        <v>1</v>
      </c>
    </row>
    <row r="736" spans="1:10" x14ac:dyDescent="0.25">
      <c r="A736">
        <v>1</v>
      </c>
      <c r="B736">
        <v>3</v>
      </c>
      <c r="C736" t="s">
        <v>11</v>
      </c>
      <c r="D736" t="s">
        <v>15</v>
      </c>
      <c r="E736" t="s">
        <v>22</v>
      </c>
      <c r="F736">
        <v>3573</v>
      </c>
      <c r="G736">
        <f>+YEAR(Tabla__192.168.1.8_POSEIDONSQL_APPFVT_01_SQLFacturasRendidas[[#This Row],[f_facturacion]])</f>
        <v>2018</v>
      </c>
      <c r="H73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736">
        <f>+IF(Tabla__192.168.1.8_POSEIDONSQL_APPFVT_01_SQLFacturasRendidas[[#This Row],[epc_nombre]]="RENDIDA",1,0)</f>
        <v>1</v>
      </c>
      <c r="J736">
        <f>+IF(Tabla__192.168.1.8_POSEIDONSQL_APPFVT_01_SQLFacturasRendidas[[#This Row],[usu_codigo]]="","",1)</f>
        <v>1</v>
      </c>
    </row>
    <row r="737" spans="1:10" x14ac:dyDescent="0.25">
      <c r="A737">
        <v>1</v>
      </c>
      <c r="B737">
        <v>3</v>
      </c>
      <c r="C737" t="s">
        <v>11</v>
      </c>
      <c r="D737" t="s">
        <v>15</v>
      </c>
      <c r="E737" t="s">
        <v>22</v>
      </c>
      <c r="F737">
        <v>3574</v>
      </c>
      <c r="G737">
        <f>+YEAR(Tabla__192.168.1.8_POSEIDONSQL_APPFVT_01_SQLFacturasRendidas[[#This Row],[f_facturacion]])</f>
        <v>2018</v>
      </c>
      <c r="H73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737">
        <f>+IF(Tabla__192.168.1.8_POSEIDONSQL_APPFVT_01_SQLFacturasRendidas[[#This Row],[epc_nombre]]="RENDIDA",1,0)</f>
        <v>1</v>
      </c>
      <c r="J737">
        <f>+IF(Tabla__192.168.1.8_POSEIDONSQL_APPFVT_01_SQLFacturasRendidas[[#This Row],[usu_codigo]]="","",1)</f>
        <v>1</v>
      </c>
    </row>
    <row r="738" spans="1:10" x14ac:dyDescent="0.25">
      <c r="A738">
        <v>1</v>
      </c>
      <c r="B738">
        <v>3</v>
      </c>
      <c r="C738" t="s">
        <v>11</v>
      </c>
      <c r="D738" t="s">
        <v>15</v>
      </c>
      <c r="E738" t="s">
        <v>22</v>
      </c>
      <c r="F738">
        <v>3575</v>
      </c>
      <c r="G738">
        <f>+YEAR(Tabla__192.168.1.8_POSEIDONSQL_APPFVT_01_SQLFacturasRendidas[[#This Row],[f_facturacion]])</f>
        <v>2018</v>
      </c>
      <c r="H73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738">
        <f>+IF(Tabla__192.168.1.8_POSEIDONSQL_APPFVT_01_SQLFacturasRendidas[[#This Row],[epc_nombre]]="RENDIDA",1,0)</f>
        <v>1</v>
      </c>
      <c r="J738">
        <f>+IF(Tabla__192.168.1.8_POSEIDONSQL_APPFVT_01_SQLFacturasRendidas[[#This Row],[usu_codigo]]="","",1)</f>
        <v>1</v>
      </c>
    </row>
    <row r="739" spans="1:10" x14ac:dyDescent="0.25">
      <c r="A739">
        <v>1</v>
      </c>
      <c r="B739">
        <v>3</v>
      </c>
      <c r="C739" t="s">
        <v>11</v>
      </c>
      <c r="D739" t="s">
        <v>15</v>
      </c>
      <c r="E739" t="s">
        <v>22</v>
      </c>
      <c r="F739">
        <v>3576</v>
      </c>
      <c r="G739">
        <f>+YEAR(Tabla__192.168.1.8_POSEIDONSQL_APPFVT_01_SQLFacturasRendidas[[#This Row],[f_facturacion]])</f>
        <v>2018</v>
      </c>
      <c r="H73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739">
        <f>+IF(Tabla__192.168.1.8_POSEIDONSQL_APPFVT_01_SQLFacturasRendidas[[#This Row],[epc_nombre]]="RENDIDA",1,0)</f>
        <v>1</v>
      </c>
      <c r="J739">
        <f>+IF(Tabla__192.168.1.8_POSEIDONSQL_APPFVT_01_SQLFacturasRendidas[[#This Row],[usu_codigo]]="","",1)</f>
        <v>1</v>
      </c>
    </row>
    <row r="740" spans="1:10" x14ac:dyDescent="0.25">
      <c r="A740">
        <v>1</v>
      </c>
      <c r="B740">
        <v>3</v>
      </c>
      <c r="C740" t="s">
        <v>11</v>
      </c>
      <c r="D740" t="s">
        <v>15</v>
      </c>
      <c r="E740" t="s">
        <v>22</v>
      </c>
      <c r="F740">
        <v>3577</v>
      </c>
      <c r="G740">
        <f>+YEAR(Tabla__192.168.1.8_POSEIDONSQL_APPFVT_01_SQLFacturasRendidas[[#This Row],[f_facturacion]])</f>
        <v>2018</v>
      </c>
      <c r="H74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740">
        <f>+IF(Tabla__192.168.1.8_POSEIDONSQL_APPFVT_01_SQLFacturasRendidas[[#This Row],[epc_nombre]]="RENDIDA",1,0)</f>
        <v>1</v>
      </c>
      <c r="J740">
        <f>+IF(Tabla__192.168.1.8_POSEIDONSQL_APPFVT_01_SQLFacturasRendidas[[#This Row],[usu_codigo]]="","",1)</f>
        <v>1</v>
      </c>
    </row>
    <row r="741" spans="1:10" x14ac:dyDescent="0.25">
      <c r="A741">
        <v>1</v>
      </c>
      <c r="B741">
        <v>3</v>
      </c>
      <c r="C741" t="s">
        <v>11</v>
      </c>
      <c r="D741" t="s">
        <v>15</v>
      </c>
      <c r="E741" t="s">
        <v>22</v>
      </c>
      <c r="F741">
        <v>3578</v>
      </c>
      <c r="G741">
        <f>+YEAR(Tabla__192.168.1.8_POSEIDONSQL_APPFVT_01_SQLFacturasRendidas[[#This Row],[f_facturacion]])</f>
        <v>2018</v>
      </c>
      <c r="H74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741">
        <f>+IF(Tabla__192.168.1.8_POSEIDONSQL_APPFVT_01_SQLFacturasRendidas[[#This Row],[epc_nombre]]="RENDIDA",1,0)</f>
        <v>1</v>
      </c>
      <c r="J741">
        <f>+IF(Tabla__192.168.1.8_POSEIDONSQL_APPFVT_01_SQLFacturasRendidas[[#This Row],[usu_codigo]]="","",1)</f>
        <v>1</v>
      </c>
    </row>
    <row r="742" spans="1:10" x14ac:dyDescent="0.25">
      <c r="A742">
        <v>1</v>
      </c>
      <c r="B742">
        <v>3</v>
      </c>
      <c r="C742" t="s">
        <v>11</v>
      </c>
      <c r="D742" t="s">
        <v>15</v>
      </c>
      <c r="E742" t="s">
        <v>50</v>
      </c>
      <c r="F742">
        <v>3633</v>
      </c>
      <c r="G742">
        <f>+YEAR(Tabla__192.168.1.8_POSEIDONSQL_APPFVT_01_SQLFacturasRendidas[[#This Row],[f_facturacion]])</f>
        <v>2018</v>
      </c>
      <c r="H74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742">
        <f>+IF(Tabla__192.168.1.8_POSEIDONSQL_APPFVT_01_SQLFacturasRendidas[[#This Row],[epc_nombre]]="RENDIDA",1,0)</f>
        <v>1</v>
      </c>
      <c r="J742">
        <f>+IF(Tabla__192.168.1.8_POSEIDONSQL_APPFVT_01_SQLFacturasRendidas[[#This Row],[usu_codigo]]="","",1)</f>
        <v>1</v>
      </c>
    </row>
    <row r="743" spans="1:10" x14ac:dyDescent="0.25">
      <c r="A743">
        <v>1</v>
      </c>
      <c r="B743">
        <v>3</v>
      </c>
      <c r="C743" t="s">
        <v>11</v>
      </c>
      <c r="D743" t="s">
        <v>15</v>
      </c>
      <c r="E743" t="s">
        <v>50</v>
      </c>
      <c r="F743">
        <v>3634</v>
      </c>
      <c r="G743">
        <f>+YEAR(Tabla__192.168.1.8_POSEIDONSQL_APPFVT_01_SQLFacturasRendidas[[#This Row],[f_facturacion]])</f>
        <v>2018</v>
      </c>
      <c r="H74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743">
        <f>+IF(Tabla__192.168.1.8_POSEIDONSQL_APPFVT_01_SQLFacturasRendidas[[#This Row],[epc_nombre]]="RENDIDA",1,0)</f>
        <v>1</v>
      </c>
      <c r="J743">
        <f>+IF(Tabla__192.168.1.8_POSEIDONSQL_APPFVT_01_SQLFacturasRendidas[[#This Row],[usu_codigo]]="","",1)</f>
        <v>1</v>
      </c>
    </row>
    <row r="744" spans="1:10" x14ac:dyDescent="0.25">
      <c r="A744">
        <v>1</v>
      </c>
      <c r="B744">
        <v>3</v>
      </c>
      <c r="C744" t="s">
        <v>11</v>
      </c>
      <c r="D744" t="s">
        <v>15</v>
      </c>
      <c r="E744" t="s">
        <v>50</v>
      </c>
      <c r="F744">
        <v>3635</v>
      </c>
      <c r="G744">
        <f>+YEAR(Tabla__192.168.1.8_POSEIDONSQL_APPFVT_01_SQLFacturasRendidas[[#This Row],[f_facturacion]])</f>
        <v>2018</v>
      </c>
      <c r="H74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744">
        <f>+IF(Tabla__192.168.1.8_POSEIDONSQL_APPFVT_01_SQLFacturasRendidas[[#This Row],[epc_nombre]]="RENDIDA",1,0)</f>
        <v>1</v>
      </c>
      <c r="J744">
        <f>+IF(Tabla__192.168.1.8_POSEIDONSQL_APPFVT_01_SQLFacturasRendidas[[#This Row],[usu_codigo]]="","",1)</f>
        <v>1</v>
      </c>
    </row>
    <row r="745" spans="1:10" x14ac:dyDescent="0.25">
      <c r="A745">
        <v>1</v>
      </c>
      <c r="B745">
        <v>3</v>
      </c>
      <c r="C745" t="s">
        <v>11</v>
      </c>
      <c r="D745" t="s">
        <v>15</v>
      </c>
      <c r="E745" t="s">
        <v>50</v>
      </c>
      <c r="F745">
        <v>3636</v>
      </c>
      <c r="G745">
        <f>+YEAR(Tabla__192.168.1.8_POSEIDONSQL_APPFVT_01_SQLFacturasRendidas[[#This Row],[f_facturacion]])</f>
        <v>2018</v>
      </c>
      <c r="H74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745">
        <f>+IF(Tabla__192.168.1.8_POSEIDONSQL_APPFVT_01_SQLFacturasRendidas[[#This Row],[epc_nombre]]="RENDIDA",1,0)</f>
        <v>1</v>
      </c>
      <c r="J745">
        <f>+IF(Tabla__192.168.1.8_POSEIDONSQL_APPFVT_01_SQLFacturasRendidas[[#This Row],[usu_codigo]]="","",1)</f>
        <v>1</v>
      </c>
    </row>
    <row r="746" spans="1:10" x14ac:dyDescent="0.25">
      <c r="A746">
        <v>1</v>
      </c>
      <c r="B746">
        <v>3</v>
      </c>
      <c r="C746" t="s">
        <v>11</v>
      </c>
      <c r="D746" t="s">
        <v>15</v>
      </c>
      <c r="E746" t="s">
        <v>50</v>
      </c>
      <c r="F746">
        <v>3637</v>
      </c>
      <c r="G746">
        <f>+YEAR(Tabla__192.168.1.8_POSEIDONSQL_APPFVT_01_SQLFacturasRendidas[[#This Row],[f_facturacion]])</f>
        <v>2018</v>
      </c>
      <c r="H74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746">
        <f>+IF(Tabla__192.168.1.8_POSEIDONSQL_APPFVT_01_SQLFacturasRendidas[[#This Row],[epc_nombre]]="RENDIDA",1,0)</f>
        <v>1</v>
      </c>
      <c r="J746">
        <f>+IF(Tabla__192.168.1.8_POSEIDONSQL_APPFVT_01_SQLFacturasRendidas[[#This Row],[usu_codigo]]="","",1)</f>
        <v>1</v>
      </c>
    </row>
    <row r="747" spans="1:10" x14ac:dyDescent="0.25">
      <c r="A747">
        <v>1</v>
      </c>
      <c r="B747">
        <v>3</v>
      </c>
      <c r="C747" t="s">
        <v>11</v>
      </c>
      <c r="D747" t="s">
        <v>15</v>
      </c>
      <c r="E747" t="s">
        <v>50</v>
      </c>
      <c r="F747">
        <v>3638</v>
      </c>
      <c r="G747">
        <f>+YEAR(Tabla__192.168.1.8_POSEIDONSQL_APPFVT_01_SQLFacturasRendidas[[#This Row],[f_facturacion]])</f>
        <v>2018</v>
      </c>
      <c r="H74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747">
        <f>+IF(Tabla__192.168.1.8_POSEIDONSQL_APPFVT_01_SQLFacturasRendidas[[#This Row],[epc_nombre]]="RENDIDA",1,0)</f>
        <v>1</v>
      </c>
      <c r="J747">
        <f>+IF(Tabla__192.168.1.8_POSEIDONSQL_APPFVT_01_SQLFacturasRendidas[[#This Row],[usu_codigo]]="","",1)</f>
        <v>1</v>
      </c>
    </row>
    <row r="748" spans="1:10" x14ac:dyDescent="0.25">
      <c r="A748">
        <v>1</v>
      </c>
      <c r="B748">
        <v>3</v>
      </c>
      <c r="C748" t="s">
        <v>11</v>
      </c>
      <c r="D748" t="s">
        <v>15</v>
      </c>
      <c r="E748" t="s">
        <v>50</v>
      </c>
      <c r="F748">
        <v>3639</v>
      </c>
      <c r="G748">
        <f>+YEAR(Tabla__192.168.1.8_POSEIDONSQL_APPFVT_01_SQLFacturasRendidas[[#This Row],[f_facturacion]])</f>
        <v>2018</v>
      </c>
      <c r="H74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748">
        <f>+IF(Tabla__192.168.1.8_POSEIDONSQL_APPFVT_01_SQLFacturasRendidas[[#This Row],[epc_nombre]]="RENDIDA",1,0)</f>
        <v>1</v>
      </c>
      <c r="J748">
        <f>+IF(Tabla__192.168.1.8_POSEIDONSQL_APPFVT_01_SQLFacturasRendidas[[#This Row],[usu_codigo]]="","",1)</f>
        <v>1</v>
      </c>
    </row>
    <row r="749" spans="1:10" x14ac:dyDescent="0.25">
      <c r="A749">
        <v>1</v>
      </c>
      <c r="B749">
        <v>3</v>
      </c>
      <c r="C749" t="s">
        <v>11</v>
      </c>
      <c r="D749" t="s">
        <v>15</v>
      </c>
      <c r="E749" t="s">
        <v>50</v>
      </c>
      <c r="F749">
        <v>3640</v>
      </c>
      <c r="G749">
        <f>+YEAR(Tabla__192.168.1.8_POSEIDONSQL_APPFVT_01_SQLFacturasRendidas[[#This Row],[f_facturacion]])</f>
        <v>2018</v>
      </c>
      <c r="H74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749">
        <f>+IF(Tabla__192.168.1.8_POSEIDONSQL_APPFVT_01_SQLFacturasRendidas[[#This Row],[epc_nombre]]="RENDIDA",1,0)</f>
        <v>1</v>
      </c>
      <c r="J749">
        <f>+IF(Tabla__192.168.1.8_POSEIDONSQL_APPFVT_01_SQLFacturasRendidas[[#This Row],[usu_codigo]]="","",1)</f>
        <v>1</v>
      </c>
    </row>
    <row r="750" spans="1:10" x14ac:dyDescent="0.25">
      <c r="A750">
        <v>1</v>
      </c>
      <c r="B750">
        <v>3</v>
      </c>
      <c r="C750" t="s">
        <v>11</v>
      </c>
      <c r="D750" t="s">
        <v>15</v>
      </c>
      <c r="E750" t="s">
        <v>50</v>
      </c>
      <c r="F750">
        <v>3641</v>
      </c>
      <c r="G750">
        <f>+YEAR(Tabla__192.168.1.8_POSEIDONSQL_APPFVT_01_SQLFacturasRendidas[[#This Row],[f_facturacion]])</f>
        <v>2018</v>
      </c>
      <c r="H75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750">
        <f>+IF(Tabla__192.168.1.8_POSEIDONSQL_APPFVT_01_SQLFacturasRendidas[[#This Row],[epc_nombre]]="RENDIDA",1,0)</f>
        <v>1</v>
      </c>
      <c r="J750">
        <f>+IF(Tabla__192.168.1.8_POSEIDONSQL_APPFVT_01_SQLFacturasRendidas[[#This Row],[usu_codigo]]="","",1)</f>
        <v>1</v>
      </c>
    </row>
    <row r="751" spans="1:10" x14ac:dyDescent="0.25">
      <c r="A751">
        <v>1</v>
      </c>
      <c r="B751">
        <v>3</v>
      </c>
      <c r="C751" t="s">
        <v>11</v>
      </c>
      <c r="D751" t="s">
        <v>15</v>
      </c>
      <c r="E751" t="s">
        <v>50</v>
      </c>
      <c r="F751">
        <v>3642</v>
      </c>
      <c r="G751">
        <f>+YEAR(Tabla__192.168.1.8_POSEIDONSQL_APPFVT_01_SQLFacturasRendidas[[#This Row],[f_facturacion]])</f>
        <v>2018</v>
      </c>
      <c r="H75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751">
        <f>+IF(Tabla__192.168.1.8_POSEIDONSQL_APPFVT_01_SQLFacturasRendidas[[#This Row],[epc_nombre]]="RENDIDA",1,0)</f>
        <v>1</v>
      </c>
      <c r="J751">
        <f>+IF(Tabla__192.168.1.8_POSEIDONSQL_APPFVT_01_SQLFacturasRendidas[[#This Row],[usu_codigo]]="","",1)</f>
        <v>1</v>
      </c>
    </row>
    <row r="752" spans="1:10" x14ac:dyDescent="0.25">
      <c r="A752">
        <v>1</v>
      </c>
      <c r="B752">
        <v>3</v>
      </c>
      <c r="C752" t="s">
        <v>11</v>
      </c>
      <c r="D752" t="s">
        <v>15</v>
      </c>
      <c r="E752" t="s">
        <v>50</v>
      </c>
      <c r="F752">
        <v>3643</v>
      </c>
      <c r="G752">
        <f>+YEAR(Tabla__192.168.1.8_POSEIDONSQL_APPFVT_01_SQLFacturasRendidas[[#This Row],[f_facturacion]])</f>
        <v>2018</v>
      </c>
      <c r="H75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752">
        <f>+IF(Tabla__192.168.1.8_POSEIDONSQL_APPFVT_01_SQLFacturasRendidas[[#This Row],[epc_nombre]]="RENDIDA",1,0)</f>
        <v>1</v>
      </c>
      <c r="J752">
        <f>+IF(Tabla__192.168.1.8_POSEIDONSQL_APPFVT_01_SQLFacturasRendidas[[#This Row],[usu_codigo]]="","",1)</f>
        <v>1</v>
      </c>
    </row>
    <row r="753" spans="1:10" x14ac:dyDescent="0.25">
      <c r="A753">
        <v>1</v>
      </c>
      <c r="B753">
        <v>3</v>
      </c>
      <c r="C753" t="s">
        <v>11</v>
      </c>
      <c r="D753" t="s">
        <v>15</v>
      </c>
      <c r="E753" t="s">
        <v>50</v>
      </c>
      <c r="F753">
        <v>3644</v>
      </c>
      <c r="G753">
        <f>+YEAR(Tabla__192.168.1.8_POSEIDONSQL_APPFVT_01_SQLFacturasRendidas[[#This Row],[f_facturacion]])</f>
        <v>2018</v>
      </c>
      <c r="H75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753">
        <f>+IF(Tabla__192.168.1.8_POSEIDONSQL_APPFVT_01_SQLFacturasRendidas[[#This Row],[epc_nombre]]="RENDIDA",1,0)</f>
        <v>1</v>
      </c>
      <c r="J753">
        <f>+IF(Tabla__192.168.1.8_POSEIDONSQL_APPFVT_01_SQLFacturasRendidas[[#This Row],[usu_codigo]]="","",1)</f>
        <v>1</v>
      </c>
    </row>
    <row r="754" spans="1:10" x14ac:dyDescent="0.25">
      <c r="A754">
        <v>1</v>
      </c>
      <c r="B754">
        <v>3</v>
      </c>
      <c r="C754" t="s">
        <v>11</v>
      </c>
      <c r="D754" t="s">
        <v>15</v>
      </c>
      <c r="E754" t="s">
        <v>50</v>
      </c>
      <c r="F754">
        <v>3645</v>
      </c>
      <c r="G754">
        <f>+YEAR(Tabla__192.168.1.8_POSEIDONSQL_APPFVT_01_SQLFacturasRendidas[[#This Row],[f_facturacion]])</f>
        <v>2018</v>
      </c>
      <c r="H75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754">
        <f>+IF(Tabla__192.168.1.8_POSEIDONSQL_APPFVT_01_SQLFacturasRendidas[[#This Row],[epc_nombre]]="RENDIDA",1,0)</f>
        <v>1</v>
      </c>
      <c r="J754">
        <f>+IF(Tabla__192.168.1.8_POSEIDONSQL_APPFVT_01_SQLFacturasRendidas[[#This Row],[usu_codigo]]="","",1)</f>
        <v>1</v>
      </c>
    </row>
    <row r="755" spans="1:10" x14ac:dyDescent="0.25">
      <c r="A755">
        <v>1</v>
      </c>
      <c r="B755">
        <v>3</v>
      </c>
      <c r="C755" t="s">
        <v>11</v>
      </c>
      <c r="D755" t="s">
        <v>15</v>
      </c>
      <c r="E755" t="s">
        <v>50</v>
      </c>
      <c r="F755">
        <v>3646</v>
      </c>
      <c r="G755">
        <f>+YEAR(Tabla__192.168.1.8_POSEIDONSQL_APPFVT_01_SQLFacturasRendidas[[#This Row],[f_facturacion]])</f>
        <v>2018</v>
      </c>
      <c r="H75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755">
        <f>+IF(Tabla__192.168.1.8_POSEIDONSQL_APPFVT_01_SQLFacturasRendidas[[#This Row],[epc_nombre]]="RENDIDA",1,0)</f>
        <v>1</v>
      </c>
      <c r="J755">
        <f>+IF(Tabla__192.168.1.8_POSEIDONSQL_APPFVT_01_SQLFacturasRendidas[[#This Row],[usu_codigo]]="","",1)</f>
        <v>1</v>
      </c>
    </row>
    <row r="756" spans="1:10" x14ac:dyDescent="0.25">
      <c r="A756">
        <v>1</v>
      </c>
      <c r="B756">
        <v>3</v>
      </c>
      <c r="C756" t="s">
        <v>11</v>
      </c>
      <c r="D756" t="s">
        <v>15</v>
      </c>
      <c r="E756" t="s">
        <v>50</v>
      </c>
      <c r="F756">
        <v>3647</v>
      </c>
      <c r="G756">
        <f>+YEAR(Tabla__192.168.1.8_POSEIDONSQL_APPFVT_01_SQLFacturasRendidas[[#This Row],[f_facturacion]])</f>
        <v>2018</v>
      </c>
      <c r="H75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756">
        <f>+IF(Tabla__192.168.1.8_POSEIDONSQL_APPFVT_01_SQLFacturasRendidas[[#This Row],[epc_nombre]]="RENDIDA",1,0)</f>
        <v>1</v>
      </c>
      <c r="J756">
        <f>+IF(Tabla__192.168.1.8_POSEIDONSQL_APPFVT_01_SQLFacturasRendidas[[#This Row],[usu_codigo]]="","",1)</f>
        <v>1</v>
      </c>
    </row>
    <row r="757" spans="1:10" x14ac:dyDescent="0.25">
      <c r="A757">
        <v>1</v>
      </c>
      <c r="B757">
        <v>3</v>
      </c>
      <c r="C757" t="s">
        <v>11</v>
      </c>
      <c r="D757" t="s">
        <v>15</v>
      </c>
      <c r="E757" t="s">
        <v>50</v>
      </c>
      <c r="F757">
        <v>3648</v>
      </c>
      <c r="G757">
        <f>+YEAR(Tabla__192.168.1.8_POSEIDONSQL_APPFVT_01_SQLFacturasRendidas[[#This Row],[f_facturacion]])</f>
        <v>2018</v>
      </c>
      <c r="H75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757">
        <f>+IF(Tabla__192.168.1.8_POSEIDONSQL_APPFVT_01_SQLFacturasRendidas[[#This Row],[epc_nombre]]="RENDIDA",1,0)</f>
        <v>1</v>
      </c>
      <c r="J757">
        <f>+IF(Tabla__192.168.1.8_POSEIDONSQL_APPFVT_01_SQLFacturasRendidas[[#This Row],[usu_codigo]]="","",1)</f>
        <v>1</v>
      </c>
    </row>
    <row r="758" spans="1:10" x14ac:dyDescent="0.25">
      <c r="A758">
        <v>1</v>
      </c>
      <c r="B758">
        <v>3</v>
      </c>
      <c r="C758" t="s">
        <v>11</v>
      </c>
      <c r="D758" t="s">
        <v>15</v>
      </c>
      <c r="E758" t="s">
        <v>50</v>
      </c>
      <c r="F758">
        <v>3649</v>
      </c>
      <c r="G758">
        <f>+YEAR(Tabla__192.168.1.8_POSEIDONSQL_APPFVT_01_SQLFacturasRendidas[[#This Row],[f_facturacion]])</f>
        <v>2018</v>
      </c>
      <c r="H75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758">
        <f>+IF(Tabla__192.168.1.8_POSEIDONSQL_APPFVT_01_SQLFacturasRendidas[[#This Row],[epc_nombre]]="RENDIDA",1,0)</f>
        <v>1</v>
      </c>
      <c r="J758">
        <f>+IF(Tabla__192.168.1.8_POSEIDONSQL_APPFVT_01_SQLFacturasRendidas[[#This Row],[usu_codigo]]="","",1)</f>
        <v>1</v>
      </c>
    </row>
    <row r="759" spans="1:10" x14ac:dyDescent="0.25">
      <c r="A759">
        <v>1</v>
      </c>
      <c r="B759">
        <v>3</v>
      </c>
      <c r="C759" t="s">
        <v>11</v>
      </c>
      <c r="D759" t="s">
        <v>15</v>
      </c>
      <c r="E759" t="s">
        <v>50</v>
      </c>
      <c r="F759">
        <v>3650</v>
      </c>
      <c r="G759">
        <f>+YEAR(Tabla__192.168.1.8_POSEIDONSQL_APPFVT_01_SQLFacturasRendidas[[#This Row],[f_facturacion]])</f>
        <v>2018</v>
      </c>
      <c r="H75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759">
        <f>+IF(Tabla__192.168.1.8_POSEIDONSQL_APPFVT_01_SQLFacturasRendidas[[#This Row],[epc_nombre]]="RENDIDA",1,0)</f>
        <v>1</v>
      </c>
      <c r="J759">
        <f>+IF(Tabla__192.168.1.8_POSEIDONSQL_APPFVT_01_SQLFacturasRendidas[[#This Row],[usu_codigo]]="","",1)</f>
        <v>1</v>
      </c>
    </row>
    <row r="760" spans="1:10" x14ac:dyDescent="0.25">
      <c r="A760">
        <v>1</v>
      </c>
      <c r="B760">
        <v>3</v>
      </c>
      <c r="C760" t="s">
        <v>11</v>
      </c>
      <c r="D760" t="s">
        <v>15</v>
      </c>
      <c r="E760" t="s">
        <v>50</v>
      </c>
      <c r="F760">
        <v>3651</v>
      </c>
      <c r="G760">
        <f>+YEAR(Tabla__192.168.1.8_POSEIDONSQL_APPFVT_01_SQLFacturasRendidas[[#This Row],[f_facturacion]])</f>
        <v>2018</v>
      </c>
      <c r="H76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760">
        <f>+IF(Tabla__192.168.1.8_POSEIDONSQL_APPFVT_01_SQLFacturasRendidas[[#This Row],[epc_nombre]]="RENDIDA",1,0)</f>
        <v>1</v>
      </c>
      <c r="J760">
        <f>+IF(Tabla__192.168.1.8_POSEIDONSQL_APPFVT_01_SQLFacturasRendidas[[#This Row],[usu_codigo]]="","",1)</f>
        <v>1</v>
      </c>
    </row>
    <row r="761" spans="1:10" x14ac:dyDescent="0.25">
      <c r="A761">
        <v>1</v>
      </c>
      <c r="B761">
        <v>3</v>
      </c>
      <c r="C761" t="s">
        <v>11</v>
      </c>
      <c r="D761" t="s">
        <v>15</v>
      </c>
      <c r="E761" t="s">
        <v>50</v>
      </c>
      <c r="F761">
        <v>3652</v>
      </c>
      <c r="G761">
        <f>+YEAR(Tabla__192.168.1.8_POSEIDONSQL_APPFVT_01_SQLFacturasRendidas[[#This Row],[f_facturacion]])</f>
        <v>2018</v>
      </c>
      <c r="H76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761">
        <f>+IF(Tabla__192.168.1.8_POSEIDONSQL_APPFVT_01_SQLFacturasRendidas[[#This Row],[epc_nombre]]="RENDIDA",1,0)</f>
        <v>1</v>
      </c>
      <c r="J761">
        <f>+IF(Tabla__192.168.1.8_POSEIDONSQL_APPFVT_01_SQLFacturasRendidas[[#This Row],[usu_codigo]]="","",1)</f>
        <v>1</v>
      </c>
    </row>
    <row r="762" spans="1:10" x14ac:dyDescent="0.25">
      <c r="A762">
        <v>1</v>
      </c>
      <c r="B762">
        <v>3</v>
      </c>
      <c r="C762" t="s">
        <v>11</v>
      </c>
      <c r="D762" t="s">
        <v>15</v>
      </c>
      <c r="E762" t="s">
        <v>50</v>
      </c>
      <c r="F762">
        <v>3653</v>
      </c>
      <c r="G762">
        <f>+YEAR(Tabla__192.168.1.8_POSEIDONSQL_APPFVT_01_SQLFacturasRendidas[[#This Row],[f_facturacion]])</f>
        <v>2018</v>
      </c>
      <c r="H76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762">
        <f>+IF(Tabla__192.168.1.8_POSEIDONSQL_APPFVT_01_SQLFacturasRendidas[[#This Row],[epc_nombre]]="RENDIDA",1,0)</f>
        <v>1</v>
      </c>
      <c r="J762">
        <f>+IF(Tabla__192.168.1.8_POSEIDONSQL_APPFVT_01_SQLFacturasRendidas[[#This Row],[usu_codigo]]="","",1)</f>
        <v>1</v>
      </c>
    </row>
    <row r="763" spans="1:10" x14ac:dyDescent="0.25">
      <c r="A763">
        <v>1</v>
      </c>
      <c r="B763">
        <v>3</v>
      </c>
      <c r="C763" t="s">
        <v>11</v>
      </c>
      <c r="D763" t="s">
        <v>15</v>
      </c>
      <c r="E763" t="s">
        <v>50</v>
      </c>
      <c r="F763">
        <v>3654</v>
      </c>
      <c r="G763">
        <f>+YEAR(Tabla__192.168.1.8_POSEIDONSQL_APPFVT_01_SQLFacturasRendidas[[#This Row],[f_facturacion]])</f>
        <v>2018</v>
      </c>
      <c r="H76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763">
        <f>+IF(Tabla__192.168.1.8_POSEIDONSQL_APPFVT_01_SQLFacturasRendidas[[#This Row],[epc_nombre]]="RENDIDA",1,0)</f>
        <v>1</v>
      </c>
      <c r="J763">
        <f>+IF(Tabla__192.168.1.8_POSEIDONSQL_APPFVT_01_SQLFacturasRendidas[[#This Row],[usu_codigo]]="","",1)</f>
        <v>1</v>
      </c>
    </row>
    <row r="764" spans="1:10" x14ac:dyDescent="0.25">
      <c r="A764">
        <v>1</v>
      </c>
      <c r="B764">
        <v>3</v>
      </c>
      <c r="C764" t="s">
        <v>11</v>
      </c>
      <c r="D764" t="s">
        <v>15</v>
      </c>
      <c r="E764" t="s">
        <v>50</v>
      </c>
      <c r="F764">
        <v>3655</v>
      </c>
      <c r="G764">
        <f>+YEAR(Tabla__192.168.1.8_POSEIDONSQL_APPFVT_01_SQLFacturasRendidas[[#This Row],[f_facturacion]])</f>
        <v>2018</v>
      </c>
      <c r="H76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764">
        <f>+IF(Tabla__192.168.1.8_POSEIDONSQL_APPFVT_01_SQLFacturasRendidas[[#This Row],[epc_nombre]]="RENDIDA",1,0)</f>
        <v>1</v>
      </c>
      <c r="J764">
        <f>+IF(Tabla__192.168.1.8_POSEIDONSQL_APPFVT_01_SQLFacturasRendidas[[#This Row],[usu_codigo]]="","",1)</f>
        <v>1</v>
      </c>
    </row>
    <row r="765" spans="1:10" x14ac:dyDescent="0.25">
      <c r="A765">
        <v>1</v>
      </c>
      <c r="B765">
        <v>3</v>
      </c>
      <c r="C765" t="s">
        <v>11</v>
      </c>
      <c r="D765" t="s">
        <v>15</v>
      </c>
      <c r="E765" t="s">
        <v>50</v>
      </c>
      <c r="F765">
        <v>3656</v>
      </c>
      <c r="G765">
        <f>+YEAR(Tabla__192.168.1.8_POSEIDONSQL_APPFVT_01_SQLFacturasRendidas[[#This Row],[f_facturacion]])</f>
        <v>2018</v>
      </c>
      <c r="H76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765">
        <f>+IF(Tabla__192.168.1.8_POSEIDONSQL_APPFVT_01_SQLFacturasRendidas[[#This Row],[epc_nombre]]="RENDIDA",1,0)</f>
        <v>1</v>
      </c>
      <c r="J765">
        <f>+IF(Tabla__192.168.1.8_POSEIDONSQL_APPFVT_01_SQLFacturasRendidas[[#This Row],[usu_codigo]]="","",1)</f>
        <v>1</v>
      </c>
    </row>
    <row r="766" spans="1:10" x14ac:dyDescent="0.25">
      <c r="A766">
        <v>1</v>
      </c>
      <c r="B766">
        <v>3</v>
      </c>
      <c r="C766" t="s">
        <v>11</v>
      </c>
      <c r="D766" t="s">
        <v>15</v>
      </c>
      <c r="E766" t="s">
        <v>50</v>
      </c>
      <c r="F766">
        <v>3657</v>
      </c>
      <c r="G766">
        <f>+YEAR(Tabla__192.168.1.8_POSEIDONSQL_APPFVT_01_SQLFacturasRendidas[[#This Row],[f_facturacion]])</f>
        <v>2018</v>
      </c>
      <c r="H76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766">
        <f>+IF(Tabla__192.168.1.8_POSEIDONSQL_APPFVT_01_SQLFacturasRendidas[[#This Row],[epc_nombre]]="RENDIDA",1,0)</f>
        <v>1</v>
      </c>
      <c r="J766">
        <f>+IF(Tabla__192.168.1.8_POSEIDONSQL_APPFVT_01_SQLFacturasRendidas[[#This Row],[usu_codigo]]="","",1)</f>
        <v>1</v>
      </c>
    </row>
    <row r="767" spans="1:10" x14ac:dyDescent="0.25">
      <c r="A767">
        <v>1</v>
      </c>
      <c r="B767">
        <v>3</v>
      </c>
      <c r="C767" t="s">
        <v>11</v>
      </c>
      <c r="D767" t="s">
        <v>15</v>
      </c>
      <c r="E767" t="s">
        <v>50</v>
      </c>
      <c r="F767">
        <v>3658</v>
      </c>
      <c r="G767">
        <f>+YEAR(Tabla__192.168.1.8_POSEIDONSQL_APPFVT_01_SQLFacturasRendidas[[#This Row],[f_facturacion]])</f>
        <v>2018</v>
      </c>
      <c r="H76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767">
        <f>+IF(Tabla__192.168.1.8_POSEIDONSQL_APPFVT_01_SQLFacturasRendidas[[#This Row],[epc_nombre]]="RENDIDA",1,0)</f>
        <v>1</v>
      </c>
      <c r="J767">
        <f>+IF(Tabla__192.168.1.8_POSEIDONSQL_APPFVT_01_SQLFacturasRendidas[[#This Row],[usu_codigo]]="","",1)</f>
        <v>1</v>
      </c>
    </row>
    <row r="768" spans="1:10" x14ac:dyDescent="0.25">
      <c r="A768">
        <v>1</v>
      </c>
      <c r="B768">
        <v>3</v>
      </c>
      <c r="C768" t="s">
        <v>11</v>
      </c>
      <c r="D768" t="s">
        <v>15</v>
      </c>
      <c r="E768" t="s">
        <v>50</v>
      </c>
      <c r="F768">
        <v>3659</v>
      </c>
      <c r="G768">
        <f>+YEAR(Tabla__192.168.1.8_POSEIDONSQL_APPFVT_01_SQLFacturasRendidas[[#This Row],[f_facturacion]])</f>
        <v>2018</v>
      </c>
      <c r="H76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768">
        <f>+IF(Tabla__192.168.1.8_POSEIDONSQL_APPFVT_01_SQLFacturasRendidas[[#This Row],[epc_nombre]]="RENDIDA",1,0)</f>
        <v>1</v>
      </c>
      <c r="J768">
        <f>+IF(Tabla__192.168.1.8_POSEIDONSQL_APPFVT_01_SQLFacturasRendidas[[#This Row],[usu_codigo]]="","",1)</f>
        <v>1</v>
      </c>
    </row>
    <row r="769" spans="1:10" x14ac:dyDescent="0.25">
      <c r="A769">
        <v>1</v>
      </c>
      <c r="B769">
        <v>3</v>
      </c>
      <c r="C769" t="s">
        <v>11</v>
      </c>
      <c r="D769" t="s">
        <v>15</v>
      </c>
      <c r="E769" t="s">
        <v>50</v>
      </c>
      <c r="F769">
        <v>3660</v>
      </c>
      <c r="G769">
        <f>+YEAR(Tabla__192.168.1.8_POSEIDONSQL_APPFVT_01_SQLFacturasRendidas[[#This Row],[f_facturacion]])</f>
        <v>2018</v>
      </c>
      <c r="H76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769">
        <f>+IF(Tabla__192.168.1.8_POSEIDONSQL_APPFVT_01_SQLFacturasRendidas[[#This Row],[epc_nombre]]="RENDIDA",1,0)</f>
        <v>1</v>
      </c>
      <c r="J769">
        <f>+IF(Tabla__192.168.1.8_POSEIDONSQL_APPFVT_01_SQLFacturasRendidas[[#This Row],[usu_codigo]]="","",1)</f>
        <v>1</v>
      </c>
    </row>
    <row r="770" spans="1:10" x14ac:dyDescent="0.25">
      <c r="A770">
        <v>1</v>
      </c>
      <c r="B770">
        <v>3</v>
      </c>
      <c r="C770" t="s">
        <v>11</v>
      </c>
      <c r="D770" t="s">
        <v>15</v>
      </c>
      <c r="E770" t="s">
        <v>50</v>
      </c>
      <c r="F770">
        <v>3661</v>
      </c>
      <c r="G770">
        <f>+YEAR(Tabla__192.168.1.8_POSEIDONSQL_APPFVT_01_SQLFacturasRendidas[[#This Row],[f_facturacion]])</f>
        <v>2018</v>
      </c>
      <c r="H77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770">
        <f>+IF(Tabla__192.168.1.8_POSEIDONSQL_APPFVT_01_SQLFacturasRendidas[[#This Row],[epc_nombre]]="RENDIDA",1,0)</f>
        <v>1</v>
      </c>
      <c r="J770">
        <f>+IF(Tabla__192.168.1.8_POSEIDONSQL_APPFVT_01_SQLFacturasRendidas[[#This Row],[usu_codigo]]="","",1)</f>
        <v>1</v>
      </c>
    </row>
    <row r="771" spans="1:10" x14ac:dyDescent="0.25">
      <c r="A771">
        <v>1</v>
      </c>
      <c r="B771">
        <v>3</v>
      </c>
      <c r="C771" t="s">
        <v>11</v>
      </c>
      <c r="D771" t="s">
        <v>15</v>
      </c>
      <c r="E771" t="s">
        <v>50</v>
      </c>
      <c r="F771">
        <v>3662</v>
      </c>
      <c r="G771">
        <f>+YEAR(Tabla__192.168.1.8_POSEIDONSQL_APPFVT_01_SQLFacturasRendidas[[#This Row],[f_facturacion]])</f>
        <v>2018</v>
      </c>
      <c r="H77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771">
        <f>+IF(Tabla__192.168.1.8_POSEIDONSQL_APPFVT_01_SQLFacturasRendidas[[#This Row],[epc_nombre]]="RENDIDA",1,0)</f>
        <v>1</v>
      </c>
      <c r="J771">
        <f>+IF(Tabla__192.168.1.8_POSEIDONSQL_APPFVT_01_SQLFacturasRendidas[[#This Row],[usu_codigo]]="","",1)</f>
        <v>1</v>
      </c>
    </row>
    <row r="772" spans="1:10" x14ac:dyDescent="0.25">
      <c r="A772">
        <v>1</v>
      </c>
      <c r="B772">
        <v>3</v>
      </c>
      <c r="C772" t="s">
        <v>11</v>
      </c>
      <c r="D772" t="s">
        <v>15</v>
      </c>
      <c r="E772" t="s">
        <v>50</v>
      </c>
      <c r="F772">
        <v>3663</v>
      </c>
      <c r="G772">
        <f>+YEAR(Tabla__192.168.1.8_POSEIDONSQL_APPFVT_01_SQLFacturasRendidas[[#This Row],[f_facturacion]])</f>
        <v>2018</v>
      </c>
      <c r="H77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772">
        <f>+IF(Tabla__192.168.1.8_POSEIDONSQL_APPFVT_01_SQLFacturasRendidas[[#This Row],[epc_nombre]]="RENDIDA",1,0)</f>
        <v>1</v>
      </c>
      <c r="J772">
        <f>+IF(Tabla__192.168.1.8_POSEIDONSQL_APPFVT_01_SQLFacturasRendidas[[#This Row],[usu_codigo]]="","",1)</f>
        <v>1</v>
      </c>
    </row>
    <row r="773" spans="1:10" x14ac:dyDescent="0.25">
      <c r="A773">
        <v>1</v>
      </c>
      <c r="B773">
        <v>3</v>
      </c>
      <c r="C773" t="s">
        <v>11</v>
      </c>
      <c r="D773" t="s">
        <v>15</v>
      </c>
      <c r="E773" t="s">
        <v>50</v>
      </c>
      <c r="F773">
        <v>3669</v>
      </c>
      <c r="G773">
        <f>+YEAR(Tabla__192.168.1.8_POSEIDONSQL_APPFVT_01_SQLFacturasRendidas[[#This Row],[f_facturacion]])</f>
        <v>2018</v>
      </c>
      <c r="H77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773">
        <f>+IF(Tabla__192.168.1.8_POSEIDONSQL_APPFVT_01_SQLFacturasRendidas[[#This Row],[epc_nombre]]="RENDIDA",1,0)</f>
        <v>1</v>
      </c>
      <c r="J773">
        <f>+IF(Tabla__192.168.1.8_POSEIDONSQL_APPFVT_01_SQLFacturasRendidas[[#This Row],[usu_codigo]]="","",1)</f>
        <v>1</v>
      </c>
    </row>
    <row r="774" spans="1:10" x14ac:dyDescent="0.25">
      <c r="A774">
        <v>1</v>
      </c>
      <c r="B774">
        <v>3</v>
      </c>
      <c r="C774" t="s">
        <v>11</v>
      </c>
      <c r="D774" t="s">
        <v>15</v>
      </c>
      <c r="E774" t="s">
        <v>50</v>
      </c>
      <c r="F774">
        <v>3670</v>
      </c>
      <c r="G774">
        <f>+YEAR(Tabla__192.168.1.8_POSEIDONSQL_APPFVT_01_SQLFacturasRendidas[[#This Row],[f_facturacion]])</f>
        <v>2018</v>
      </c>
      <c r="H77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774">
        <f>+IF(Tabla__192.168.1.8_POSEIDONSQL_APPFVT_01_SQLFacturasRendidas[[#This Row],[epc_nombre]]="RENDIDA",1,0)</f>
        <v>1</v>
      </c>
      <c r="J774">
        <f>+IF(Tabla__192.168.1.8_POSEIDONSQL_APPFVT_01_SQLFacturasRendidas[[#This Row],[usu_codigo]]="","",1)</f>
        <v>1</v>
      </c>
    </row>
    <row r="775" spans="1:10" x14ac:dyDescent="0.25">
      <c r="A775">
        <v>1</v>
      </c>
      <c r="B775">
        <v>3</v>
      </c>
      <c r="C775" t="s">
        <v>11</v>
      </c>
      <c r="D775" t="s">
        <v>15</v>
      </c>
      <c r="E775" t="s">
        <v>50</v>
      </c>
      <c r="F775">
        <v>3671</v>
      </c>
      <c r="G775">
        <f>+YEAR(Tabla__192.168.1.8_POSEIDONSQL_APPFVT_01_SQLFacturasRendidas[[#This Row],[f_facturacion]])</f>
        <v>2018</v>
      </c>
      <c r="H77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775">
        <f>+IF(Tabla__192.168.1.8_POSEIDONSQL_APPFVT_01_SQLFacturasRendidas[[#This Row],[epc_nombre]]="RENDIDA",1,0)</f>
        <v>1</v>
      </c>
      <c r="J775">
        <f>+IF(Tabla__192.168.1.8_POSEIDONSQL_APPFVT_01_SQLFacturasRendidas[[#This Row],[usu_codigo]]="","",1)</f>
        <v>1</v>
      </c>
    </row>
    <row r="776" spans="1:10" x14ac:dyDescent="0.25">
      <c r="A776">
        <v>1</v>
      </c>
      <c r="B776">
        <v>3</v>
      </c>
      <c r="C776" t="s">
        <v>11</v>
      </c>
      <c r="D776" t="s">
        <v>15</v>
      </c>
      <c r="E776" t="s">
        <v>49</v>
      </c>
      <c r="F776">
        <v>3673</v>
      </c>
      <c r="G776">
        <f>+YEAR(Tabla__192.168.1.8_POSEIDONSQL_APPFVT_01_SQLFacturasRendidas[[#This Row],[f_facturacion]])</f>
        <v>2018</v>
      </c>
      <c r="H77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776">
        <f>+IF(Tabla__192.168.1.8_POSEIDONSQL_APPFVT_01_SQLFacturasRendidas[[#This Row],[epc_nombre]]="RENDIDA",1,0)</f>
        <v>1</v>
      </c>
      <c r="J776">
        <f>+IF(Tabla__192.168.1.8_POSEIDONSQL_APPFVT_01_SQLFacturasRendidas[[#This Row],[usu_codigo]]="","",1)</f>
        <v>1</v>
      </c>
    </row>
    <row r="777" spans="1:10" x14ac:dyDescent="0.25">
      <c r="A777">
        <v>1</v>
      </c>
      <c r="B777">
        <v>3</v>
      </c>
      <c r="C777" t="s">
        <v>11</v>
      </c>
      <c r="D777" t="s">
        <v>15</v>
      </c>
      <c r="E777" t="s">
        <v>49</v>
      </c>
      <c r="F777">
        <v>3674</v>
      </c>
      <c r="G777">
        <f>+YEAR(Tabla__192.168.1.8_POSEIDONSQL_APPFVT_01_SQLFacturasRendidas[[#This Row],[f_facturacion]])</f>
        <v>2018</v>
      </c>
      <c r="H77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777">
        <f>+IF(Tabla__192.168.1.8_POSEIDONSQL_APPFVT_01_SQLFacturasRendidas[[#This Row],[epc_nombre]]="RENDIDA",1,0)</f>
        <v>1</v>
      </c>
      <c r="J777">
        <f>+IF(Tabla__192.168.1.8_POSEIDONSQL_APPFVT_01_SQLFacturasRendidas[[#This Row],[usu_codigo]]="","",1)</f>
        <v>1</v>
      </c>
    </row>
    <row r="778" spans="1:10" x14ac:dyDescent="0.25">
      <c r="A778">
        <v>1</v>
      </c>
      <c r="B778">
        <v>3</v>
      </c>
      <c r="C778" t="s">
        <v>11</v>
      </c>
      <c r="D778" t="s">
        <v>15</v>
      </c>
      <c r="E778" t="s">
        <v>49</v>
      </c>
      <c r="F778">
        <v>3675</v>
      </c>
      <c r="G778">
        <f>+YEAR(Tabla__192.168.1.8_POSEIDONSQL_APPFVT_01_SQLFacturasRendidas[[#This Row],[f_facturacion]])</f>
        <v>2018</v>
      </c>
      <c r="H77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778">
        <f>+IF(Tabla__192.168.1.8_POSEIDONSQL_APPFVT_01_SQLFacturasRendidas[[#This Row],[epc_nombre]]="RENDIDA",1,0)</f>
        <v>1</v>
      </c>
      <c r="J778">
        <f>+IF(Tabla__192.168.1.8_POSEIDONSQL_APPFVT_01_SQLFacturasRendidas[[#This Row],[usu_codigo]]="","",1)</f>
        <v>1</v>
      </c>
    </row>
    <row r="779" spans="1:10" x14ac:dyDescent="0.25">
      <c r="A779">
        <v>1</v>
      </c>
      <c r="B779">
        <v>3</v>
      </c>
      <c r="C779" t="s">
        <v>11</v>
      </c>
      <c r="D779" t="s">
        <v>15</v>
      </c>
      <c r="E779" t="s">
        <v>49</v>
      </c>
      <c r="F779">
        <v>3676</v>
      </c>
      <c r="G779">
        <f>+YEAR(Tabla__192.168.1.8_POSEIDONSQL_APPFVT_01_SQLFacturasRendidas[[#This Row],[f_facturacion]])</f>
        <v>2018</v>
      </c>
      <c r="H77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779">
        <f>+IF(Tabla__192.168.1.8_POSEIDONSQL_APPFVT_01_SQLFacturasRendidas[[#This Row],[epc_nombre]]="RENDIDA",1,0)</f>
        <v>1</v>
      </c>
      <c r="J779">
        <f>+IF(Tabla__192.168.1.8_POSEIDONSQL_APPFVT_01_SQLFacturasRendidas[[#This Row],[usu_codigo]]="","",1)</f>
        <v>1</v>
      </c>
    </row>
    <row r="780" spans="1:10" x14ac:dyDescent="0.25">
      <c r="A780">
        <v>1</v>
      </c>
      <c r="B780">
        <v>3</v>
      </c>
      <c r="C780" t="s">
        <v>11</v>
      </c>
      <c r="D780" t="s">
        <v>15</v>
      </c>
      <c r="E780" t="s">
        <v>49</v>
      </c>
      <c r="F780">
        <v>3677</v>
      </c>
      <c r="G780">
        <f>+YEAR(Tabla__192.168.1.8_POSEIDONSQL_APPFVT_01_SQLFacturasRendidas[[#This Row],[f_facturacion]])</f>
        <v>2018</v>
      </c>
      <c r="H78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780">
        <f>+IF(Tabla__192.168.1.8_POSEIDONSQL_APPFVT_01_SQLFacturasRendidas[[#This Row],[epc_nombre]]="RENDIDA",1,0)</f>
        <v>1</v>
      </c>
      <c r="J780">
        <f>+IF(Tabla__192.168.1.8_POSEIDONSQL_APPFVT_01_SQLFacturasRendidas[[#This Row],[usu_codigo]]="","",1)</f>
        <v>1</v>
      </c>
    </row>
    <row r="781" spans="1:10" x14ac:dyDescent="0.25">
      <c r="A781">
        <v>1</v>
      </c>
      <c r="B781">
        <v>3</v>
      </c>
      <c r="C781" t="s">
        <v>11</v>
      </c>
      <c r="D781" t="s">
        <v>15</v>
      </c>
      <c r="E781" t="s">
        <v>49</v>
      </c>
      <c r="F781">
        <v>3678</v>
      </c>
      <c r="G781">
        <f>+YEAR(Tabla__192.168.1.8_POSEIDONSQL_APPFVT_01_SQLFacturasRendidas[[#This Row],[f_facturacion]])</f>
        <v>2018</v>
      </c>
      <c r="H78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781">
        <f>+IF(Tabla__192.168.1.8_POSEIDONSQL_APPFVT_01_SQLFacturasRendidas[[#This Row],[epc_nombre]]="RENDIDA",1,0)</f>
        <v>1</v>
      </c>
      <c r="J781">
        <f>+IF(Tabla__192.168.1.8_POSEIDONSQL_APPFVT_01_SQLFacturasRendidas[[#This Row],[usu_codigo]]="","",1)</f>
        <v>1</v>
      </c>
    </row>
    <row r="782" spans="1:10" x14ac:dyDescent="0.25">
      <c r="A782">
        <v>1</v>
      </c>
      <c r="B782">
        <v>3</v>
      </c>
      <c r="C782" t="s">
        <v>11</v>
      </c>
      <c r="D782" t="s">
        <v>15</v>
      </c>
      <c r="E782" t="s">
        <v>49</v>
      </c>
      <c r="F782">
        <v>3679</v>
      </c>
      <c r="G782">
        <f>+YEAR(Tabla__192.168.1.8_POSEIDONSQL_APPFVT_01_SQLFacturasRendidas[[#This Row],[f_facturacion]])</f>
        <v>2018</v>
      </c>
      <c r="H78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782">
        <f>+IF(Tabla__192.168.1.8_POSEIDONSQL_APPFVT_01_SQLFacturasRendidas[[#This Row],[epc_nombre]]="RENDIDA",1,0)</f>
        <v>1</v>
      </c>
      <c r="J782">
        <f>+IF(Tabla__192.168.1.8_POSEIDONSQL_APPFVT_01_SQLFacturasRendidas[[#This Row],[usu_codigo]]="","",1)</f>
        <v>1</v>
      </c>
    </row>
    <row r="783" spans="1:10" x14ac:dyDescent="0.25">
      <c r="A783">
        <v>1</v>
      </c>
      <c r="B783">
        <v>3</v>
      </c>
      <c r="C783" t="s">
        <v>11</v>
      </c>
      <c r="D783" t="s">
        <v>15</v>
      </c>
      <c r="E783" t="s">
        <v>49</v>
      </c>
      <c r="F783">
        <v>3680</v>
      </c>
      <c r="G783">
        <f>+YEAR(Tabla__192.168.1.8_POSEIDONSQL_APPFVT_01_SQLFacturasRendidas[[#This Row],[f_facturacion]])</f>
        <v>2018</v>
      </c>
      <c r="H78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783">
        <f>+IF(Tabla__192.168.1.8_POSEIDONSQL_APPFVT_01_SQLFacturasRendidas[[#This Row],[epc_nombre]]="RENDIDA",1,0)</f>
        <v>1</v>
      </c>
      <c r="J783">
        <f>+IF(Tabla__192.168.1.8_POSEIDONSQL_APPFVT_01_SQLFacturasRendidas[[#This Row],[usu_codigo]]="","",1)</f>
        <v>1</v>
      </c>
    </row>
    <row r="784" spans="1:10" x14ac:dyDescent="0.25">
      <c r="A784">
        <v>1</v>
      </c>
      <c r="B784">
        <v>3</v>
      </c>
      <c r="C784" t="s">
        <v>11</v>
      </c>
      <c r="D784" t="s">
        <v>15</v>
      </c>
      <c r="E784" t="s">
        <v>49</v>
      </c>
      <c r="F784">
        <v>3681</v>
      </c>
      <c r="G784">
        <f>+YEAR(Tabla__192.168.1.8_POSEIDONSQL_APPFVT_01_SQLFacturasRendidas[[#This Row],[f_facturacion]])</f>
        <v>2018</v>
      </c>
      <c r="H78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784">
        <f>+IF(Tabla__192.168.1.8_POSEIDONSQL_APPFVT_01_SQLFacturasRendidas[[#This Row],[epc_nombre]]="RENDIDA",1,0)</f>
        <v>1</v>
      </c>
      <c r="J784">
        <f>+IF(Tabla__192.168.1.8_POSEIDONSQL_APPFVT_01_SQLFacturasRendidas[[#This Row],[usu_codigo]]="","",1)</f>
        <v>1</v>
      </c>
    </row>
    <row r="785" spans="1:10" x14ac:dyDescent="0.25">
      <c r="A785">
        <v>1</v>
      </c>
      <c r="B785">
        <v>3</v>
      </c>
      <c r="C785" t="s">
        <v>11</v>
      </c>
      <c r="D785" t="s">
        <v>15</v>
      </c>
      <c r="E785" t="s">
        <v>49</v>
      </c>
      <c r="F785">
        <v>3682</v>
      </c>
      <c r="G785">
        <f>+YEAR(Tabla__192.168.1.8_POSEIDONSQL_APPFVT_01_SQLFacturasRendidas[[#This Row],[f_facturacion]])</f>
        <v>2018</v>
      </c>
      <c r="H78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785">
        <f>+IF(Tabla__192.168.1.8_POSEIDONSQL_APPFVT_01_SQLFacturasRendidas[[#This Row],[epc_nombre]]="RENDIDA",1,0)</f>
        <v>1</v>
      </c>
      <c r="J785">
        <f>+IF(Tabla__192.168.1.8_POSEIDONSQL_APPFVT_01_SQLFacturasRendidas[[#This Row],[usu_codigo]]="","",1)</f>
        <v>1</v>
      </c>
    </row>
    <row r="786" spans="1:10" x14ac:dyDescent="0.25">
      <c r="A786">
        <v>1</v>
      </c>
      <c r="B786">
        <v>3</v>
      </c>
      <c r="C786" t="s">
        <v>11</v>
      </c>
      <c r="D786" t="s">
        <v>15</v>
      </c>
      <c r="E786" t="s">
        <v>49</v>
      </c>
      <c r="F786">
        <v>3683</v>
      </c>
      <c r="G786">
        <f>+YEAR(Tabla__192.168.1.8_POSEIDONSQL_APPFVT_01_SQLFacturasRendidas[[#This Row],[f_facturacion]])</f>
        <v>2018</v>
      </c>
      <c r="H78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786">
        <f>+IF(Tabla__192.168.1.8_POSEIDONSQL_APPFVT_01_SQLFacturasRendidas[[#This Row],[epc_nombre]]="RENDIDA",1,0)</f>
        <v>1</v>
      </c>
      <c r="J786">
        <f>+IF(Tabla__192.168.1.8_POSEIDONSQL_APPFVT_01_SQLFacturasRendidas[[#This Row],[usu_codigo]]="","",1)</f>
        <v>1</v>
      </c>
    </row>
    <row r="787" spans="1:10" x14ac:dyDescent="0.25">
      <c r="A787">
        <v>1</v>
      </c>
      <c r="B787">
        <v>3</v>
      </c>
      <c r="C787" t="s">
        <v>11</v>
      </c>
      <c r="D787" t="s">
        <v>15</v>
      </c>
      <c r="E787" t="s">
        <v>49</v>
      </c>
      <c r="F787">
        <v>3684</v>
      </c>
      <c r="G787">
        <f>+YEAR(Tabla__192.168.1.8_POSEIDONSQL_APPFVT_01_SQLFacturasRendidas[[#This Row],[f_facturacion]])</f>
        <v>2018</v>
      </c>
      <c r="H78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787">
        <f>+IF(Tabla__192.168.1.8_POSEIDONSQL_APPFVT_01_SQLFacturasRendidas[[#This Row],[epc_nombre]]="RENDIDA",1,0)</f>
        <v>1</v>
      </c>
      <c r="J787">
        <f>+IF(Tabla__192.168.1.8_POSEIDONSQL_APPFVT_01_SQLFacturasRendidas[[#This Row],[usu_codigo]]="","",1)</f>
        <v>1</v>
      </c>
    </row>
    <row r="788" spans="1:10" x14ac:dyDescent="0.25">
      <c r="A788">
        <v>1</v>
      </c>
      <c r="B788">
        <v>3</v>
      </c>
      <c r="C788" t="s">
        <v>11</v>
      </c>
      <c r="D788" t="s">
        <v>15</v>
      </c>
      <c r="E788" t="s">
        <v>49</v>
      </c>
      <c r="F788">
        <v>3685</v>
      </c>
      <c r="G788">
        <f>+YEAR(Tabla__192.168.1.8_POSEIDONSQL_APPFVT_01_SQLFacturasRendidas[[#This Row],[f_facturacion]])</f>
        <v>2018</v>
      </c>
      <c r="H78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788">
        <f>+IF(Tabla__192.168.1.8_POSEIDONSQL_APPFVT_01_SQLFacturasRendidas[[#This Row],[epc_nombre]]="RENDIDA",1,0)</f>
        <v>1</v>
      </c>
      <c r="J788">
        <f>+IF(Tabla__192.168.1.8_POSEIDONSQL_APPFVT_01_SQLFacturasRendidas[[#This Row],[usu_codigo]]="","",1)</f>
        <v>1</v>
      </c>
    </row>
    <row r="789" spans="1:10" x14ac:dyDescent="0.25">
      <c r="A789">
        <v>1</v>
      </c>
      <c r="B789">
        <v>3</v>
      </c>
      <c r="C789" t="s">
        <v>11</v>
      </c>
      <c r="D789" t="s">
        <v>15</v>
      </c>
      <c r="E789" t="s">
        <v>67</v>
      </c>
      <c r="F789">
        <v>3748</v>
      </c>
      <c r="G789">
        <f>+YEAR(Tabla__192.168.1.8_POSEIDONSQL_APPFVT_01_SQLFacturasRendidas[[#This Row],[f_facturacion]])</f>
        <v>2018</v>
      </c>
      <c r="H78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789">
        <f>+IF(Tabla__192.168.1.8_POSEIDONSQL_APPFVT_01_SQLFacturasRendidas[[#This Row],[epc_nombre]]="RENDIDA",1,0)</f>
        <v>1</v>
      </c>
      <c r="J789">
        <f>+IF(Tabla__192.168.1.8_POSEIDONSQL_APPFVT_01_SQLFacturasRendidas[[#This Row],[usu_codigo]]="","",1)</f>
        <v>1</v>
      </c>
    </row>
    <row r="790" spans="1:10" x14ac:dyDescent="0.25">
      <c r="A790">
        <v>1</v>
      </c>
      <c r="B790">
        <v>3</v>
      </c>
      <c r="C790" t="s">
        <v>11</v>
      </c>
      <c r="D790" t="s">
        <v>15</v>
      </c>
      <c r="E790" t="s">
        <v>67</v>
      </c>
      <c r="F790">
        <v>3749</v>
      </c>
      <c r="G790">
        <f>+YEAR(Tabla__192.168.1.8_POSEIDONSQL_APPFVT_01_SQLFacturasRendidas[[#This Row],[f_facturacion]])</f>
        <v>2018</v>
      </c>
      <c r="H79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790">
        <f>+IF(Tabla__192.168.1.8_POSEIDONSQL_APPFVT_01_SQLFacturasRendidas[[#This Row],[epc_nombre]]="RENDIDA",1,0)</f>
        <v>1</v>
      </c>
      <c r="J790">
        <f>+IF(Tabla__192.168.1.8_POSEIDONSQL_APPFVT_01_SQLFacturasRendidas[[#This Row],[usu_codigo]]="","",1)</f>
        <v>1</v>
      </c>
    </row>
    <row r="791" spans="1:10" x14ac:dyDescent="0.25">
      <c r="A791">
        <v>1</v>
      </c>
      <c r="B791">
        <v>3</v>
      </c>
      <c r="C791" t="s">
        <v>11</v>
      </c>
      <c r="D791" t="s">
        <v>15</v>
      </c>
      <c r="E791" t="s">
        <v>67</v>
      </c>
      <c r="F791">
        <v>3750</v>
      </c>
      <c r="G791">
        <f>+YEAR(Tabla__192.168.1.8_POSEIDONSQL_APPFVT_01_SQLFacturasRendidas[[#This Row],[f_facturacion]])</f>
        <v>2018</v>
      </c>
      <c r="H79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791">
        <f>+IF(Tabla__192.168.1.8_POSEIDONSQL_APPFVT_01_SQLFacturasRendidas[[#This Row],[epc_nombre]]="RENDIDA",1,0)</f>
        <v>1</v>
      </c>
      <c r="J791">
        <f>+IF(Tabla__192.168.1.8_POSEIDONSQL_APPFVT_01_SQLFacturasRendidas[[#This Row],[usu_codigo]]="","",1)</f>
        <v>1</v>
      </c>
    </row>
    <row r="792" spans="1:10" x14ac:dyDescent="0.25">
      <c r="A792">
        <v>1</v>
      </c>
      <c r="B792">
        <v>3</v>
      </c>
      <c r="C792" t="s">
        <v>11</v>
      </c>
      <c r="D792" t="s">
        <v>15</v>
      </c>
      <c r="E792" t="s">
        <v>67</v>
      </c>
      <c r="F792">
        <v>3751</v>
      </c>
      <c r="G792">
        <f>+YEAR(Tabla__192.168.1.8_POSEIDONSQL_APPFVT_01_SQLFacturasRendidas[[#This Row],[f_facturacion]])</f>
        <v>2018</v>
      </c>
      <c r="H79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792">
        <f>+IF(Tabla__192.168.1.8_POSEIDONSQL_APPFVT_01_SQLFacturasRendidas[[#This Row],[epc_nombre]]="RENDIDA",1,0)</f>
        <v>1</v>
      </c>
      <c r="J792">
        <f>+IF(Tabla__192.168.1.8_POSEIDONSQL_APPFVT_01_SQLFacturasRendidas[[#This Row],[usu_codigo]]="","",1)</f>
        <v>1</v>
      </c>
    </row>
    <row r="793" spans="1:10" x14ac:dyDescent="0.25">
      <c r="A793">
        <v>1</v>
      </c>
      <c r="B793">
        <v>3</v>
      </c>
      <c r="C793" t="s">
        <v>11</v>
      </c>
      <c r="D793" t="s">
        <v>15</v>
      </c>
      <c r="E793" t="s">
        <v>67</v>
      </c>
      <c r="F793">
        <v>3752</v>
      </c>
      <c r="G793">
        <f>+YEAR(Tabla__192.168.1.8_POSEIDONSQL_APPFVT_01_SQLFacturasRendidas[[#This Row],[f_facturacion]])</f>
        <v>2018</v>
      </c>
      <c r="H79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793">
        <f>+IF(Tabla__192.168.1.8_POSEIDONSQL_APPFVT_01_SQLFacturasRendidas[[#This Row],[epc_nombre]]="RENDIDA",1,0)</f>
        <v>1</v>
      </c>
      <c r="J793">
        <f>+IF(Tabla__192.168.1.8_POSEIDONSQL_APPFVT_01_SQLFacturasRendidas[[#This Row],[usu_codigo]]="","",1)</f>
        <v>1</v>
      </c>
    </row>
    <row r="794" spans="1:10" x14ac:dyDescent="0.25">
      <c r="A794">
        <v>1</v>
      </c>
      <c r="B794">
        <v>3</v>
      </c>
      <c r="C794" t="s">
        <v>11</v>
      </c>
      <c r="D794" t="s">
        <v>15</v>
      </c>
      <c r="E794" t="s">
        <v>67</v>
      </c>
      <c r="F794">
        <v>3753</v>
      </c>
      <c r="G794">
        <f>+YEAR(Tabla__192.168.1.8_POSEIDONSQL_APPFVT_01_SQLFacturasRendidas[[#This Row],[f_facturacion]])</f>
        <v>2018</v>
      </c>
      <c r="H79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794">
        <f>+IF(Tabla__192.168.1.8_POSEIDONSQL_APPFVT_01_SQLFacturasRendidas[[#This Row],[epc_nombre]]="RENDIDA",1,0)</f>
        <v>1</v>
      </c>
      <c r="J794">
        <f>+IF(Tabla__192.168.1.8_POSEIDONSQL_APPFVT_01_SQLFacturasRendidas[[#This Row],[usu_codigo]]="","",1)</f>
        <v>1</v>
      </c>
    </row>
    <row r="795" spans="1:10" x14ac:dyDescent="0.25">
      <c r="A795">
        <v>1</v>
      </c>
      <c r="B795">
        <v>3</v>
      </c>
      <c r="C795" t="s">
        <v>11</v>
      </c>
      <c r="D795" t="s">
        <v>15</v>
      </c>
      <c r="E795" t="s">
        <v>67</v>
      </c>
      <c r="F795">
        <v>3754</v>
      </c>
      <c r="G795">
        <f>+YEAR(Tabla__192.168.1.8_POSEIDONSQL_APPFVT_01_SQLFacturasRendidas[[#This Row],[f_facturacion]])</f>
        <v>2018</v>
      </c>
      <c r="H79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795">
        <f>+IF(Tabla__192.168.1.8_POSEIDONSQL_APPFVT_01_SQLFacturasRendidas[[#This Row],[epc_nombre]]="RENDIDA",1,0)</f>
        <v>1</v>
      </c>
      <c r="J795">
        <f>+IF(Tabla__192.168.1.8_POSEIDONSQL_APPFVT_01_SQLFacturasRendidas[[#This Row],[usu_codigo]]="","",1)</f>
        <v>1</v>
      </c>
    </row>
    <row r="796" spans="1:10" x14ac:dyDescent="0.25">
      <c r="A796">
        <v>1</v>
      </c>
      <c r="B796">
        <v>3</v>
      </c>
      <c r="C796" t="s">
        <v>11</v>
      </c>
      <c r="D796" t="s">
        <v>15</v>
      </c>
      <c r="E796" t="s">
        <v>67</v>
      </c>
      <c r="F796">
        <v>3755</v>
      </c>
      <c r="G796">
        <f>+YEAR(Tabla__192.168.1.8_POSEIDONSQL_APPFVT_01_SQLFacturasRendidas[[#This Row],[f_facturacion]])</f>
        <v>2018</v>
      </c>
      <c r="H79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796">
        <f>+IF(Tabla__192.168.1.8_POSEIDONSQL_APPFVT_01_SQLFacturasRendidas[[#This Row],[epc_nombre]]="RENDIDA",1,0)</f>
        <v>1</v>
      </c>
      <c r="J796">
        <f>+IF(Tabla__192.168.1.8_POSEIDONSQL_APPFVT_01_SQLFacturasRendidas[[#This Row],[usu_codigo]]="","",1)</f>
        <v>1</v>
      </c>
    </row>
    <row r="797" spans="1:10" x14ac:dyDescent="0.25">
      <c r="A797">
        <v>1</v>
      </c>
      <c r="B797">
        <v>3</v>
      </c>
      <c r="C797" t="s">
        <v>11</v>
      </c>
      <c r="D797" t="s">
        <v>15</v>
      </c>
      <c r="E797" t="s">
        <v>67</v>
      </c>
      <c r="F797">
        <v>3756</v>
      </c>
      <c r="G797">
        <f>+YEAR(Tabla__192.168.1.8_POSEIDONSQL_APPFVT_01_SQLFacturasRendidas[[#This Row],[f_facturacion]])</f>
        <v>2018</v>
      </c>
      <c r="H79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797">
        <f>+IF(Tabla__192.168.1.8_POSEIDONSQL_APPFVT_01_SQLFacturasRendidas[[#This Row],[epc_nombre]]="RENDIDA",1,0)</f>
        <v>1</v>
      </c>
      <c r="J797">
        <f>+IF(Tabla__192.168.1.8_POSEIDONSQL_APPFVT_01_SQLFacturasRendidas[[#This Row],[usu_codigo]]="","",1)</f>
        <v>1</v>
      </c>
    </row>
    <row r="798" spans="1:10" x14ac:dyDescent="0.25">
      <c r="A798">
        <v>1</v>
      </c>
      <c r="B798">
        <v>3</v>
      </c>
      <c r="C798" t="s">
        <v>11</v>
      </c>
      <c r="D798" t="s">
        <v>15</v>
      </c>
      <c r="E798" t="s">
        <v>67</v>
      </c>
      <c r="F798">
        <v>3757</v>
      </c>
      <c r="G798">
        <f>+YEAR(Tabla__192.168.1.8_POSEIDONSQL_APPFVT_01_SQLFacturasRendidas[[#This Row],[f_facturacion]])</f>
        <v>2018</v>
      </c>
      <c r="H79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798">
        <f>+IF(Tabla__192.168.1.8_POSEIDONSQL_APPFVT_01_SQLFacturasRendidas[[#This Row],[epc_nombre]]="RENDIDA",1,0)</f>
        <v>1</v>
      </c>
      <c r="J798">
        <f>+IF(Tabla__192.168.1.8_POSEIDONSQL_APPFVT_01_SQLFacturasRendidas[[#This Row],[usu_codigo]]="","",1)</f>
        <v>1</v>
      </c>
    </row>
    <row r="799" spans="1:10" x14ac:dyDescent="0.25">
      <c r="A799">
        <v>1</v>
      </c>
      <c r="B799">
        <v>3</v>
      </c>
      <c r="C799" t="s">
        <v>11</v>
      </c>
      <c r="D799" t="s">
        <v>15</v>
      </c>
      <c r="E799" t="s">
        <v>67</v>
      </c>
      <c r="F799">
        <v>3758</v>
      </c>
      <c r="G799">
        <f>+YEAR(Tabla__192.168.1.8_POSEIDONSQL_APPFVT_01_SQLFacturasRendidas[[#This Row],[f_facturacion]])</f>
        <v>2018</v>
      </c>
      <c r="H79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799">
        <f>+IF(Tabla__192.168.1.8_POSEIDONSQL_APPFVT_01_SQLFacturasRendidas[[#This Row],[epc_nombre]]="RENDIDA",1,0)</f>
        <v>1</v>
      </c>
      <c r="J799">
        <f>+IF(Tabla__192.168.1.8_POSEIDONSQL_APPFVT_01_SQLFacturasRendidas[[#This Row],[usu_codigo]]="","",1)</f>
        <v>1</v>
      </c>
    </row>
    <row r="800" spans="1:10" x14ac:dyDescent="0.25">
      <c r="A800">
        <v>1</v>
      </c>
      <c r="B800">
        <v>3</v>
      </c>
      <c r="C800" t="s">
        <v>11</v>
      </c>
      <c r="D800" t="s">
        <v>15</v>
      </c>
      <c r="E800" t="s">
        <v>67</v>
      </c>
      <c r="F800">
        <v>3759</v>
      </c>
      <c r="G800">
        <f>+YEAR(Tabla__192.168.1.8_POSEIDONSQL_APPFVT_01_SQLFacturasRendidas[[#This Row],[f_facturacion]])</f>
        <v>2018</v>
      </c>
      <c r="H80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800">
        <f>+IF(Tabla__192.168.1.8_POSEIDONSQL_APPFVT_01_SQLFacturasRendidas[[#This Row],[epc_nombre]]="RENDIDA",1,0)</f>
        <v>1</v>
      </c>
      <c r="J800">
        <f>+IF(Tabla__192.168.1.8_POSEIDONSQL_APPFVT_01_SQLFacturasRendidas[[#This Row],[usu_codigo]]="","",1)</f>
        <v>1</v>
      </c>
    </row>
    <row r="801" spans="1:10" x14ac:dyDescent="0.25">
      <c r="A801">
        <v>1</v>
      </c>
      <c r="B801">
        <v>3</v>
      </c>
      <c r="C801" t="s">
        <v>11</v>
      </c>
      <c r="D801" t="s">
        <v>15</v>
      </c>
      <c r="E801" t="s">
        <v>67</v>
      </c>
      <c r="F801">
        <v>3760</v>
      </c>
      <c r="G801">
        <f>+YEAR(Tabla__192.168.1.8_POSEIDONSQL_APPFVT_01_SQLFacturasRendidas[[#This Row],[f_facturacion]])</f>
        <v>2018</v>
      </c>
      <c r="H80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801">
        <f>+IF(Tabla__192.168.1.8_POSEIDONSQL_APPFVT_01_SQLFacturasRendidas[[#This Row],[epc_nombre]]="RENDIDA",1,0)</f>
        <v>1</v>
      </c>
      <c r="J801">
        <f>+IF(Tabla__192.168.1.8_POSEIDONSQL_APPFVT_01_SQLFacturasRendidas[[#This Row],[usu_codigo]]="","",1)</f>
        <v>1</v>
      </c>
    </row>
    <row r="802" spans="1:10" x14ac:dyDescent="0.25">
      <c r="A802">
        <v>1</v>
      </c>
      <c r="B802">
        <v>3</v>
      </c>
      <c r="C802" t="s">
        <v>11</v>
      </c>
      <c r="D802" t="s">
        <v>15</v>
      </c>
      <c r="E802" t="s">
        <v>67</v>
      </c>
      <c r="F802">
        <v>3761</v>
      </c>
      <c r="G802">
        <f>+YEAR(Tabla__192.168.1.8_POSEIDONSQL_APPFVT_01_SQLFacturasRendidas[[#This Row],[f_facturacion]])</f>
        <v>2018</v>
      </c>
      <c r="H80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802">
        <f>+IF(Tabla__192.168.1.8_POSEIDONSQL_APPFVT_01_SQLFacturasRendidas[[#This Row],[epc_nombre]]="RENDIDA",1,0)</f>
        <v>1</v>
      </c>
      <c r="J802">
        <f>+IF(Tabla__192.168.1.8_POSEIDONSQL_APPFVT_01_SQLFacturasRendidas[[#This Row],[usu_codigo]]="","",1)</f>
        <v>1</v>
      </c>
    </row>
    <row r="803" spans="1:10" x14ac:dyDescent="0.25">
      <c r="A803">
        <v>1</v>
      </c>
      <c r="B803">
        <v>3</v>
      </c>
      <c r="C803" t="s">
        <v>11</v>
      </c>
      <c r="D803" t="s">
        <v>15</v>
      </c>
      <c r="E803" t="s">
        <v>67</v>
      </c>
      <c r="F803">
        <v>3762</v>
      </c>
      <c r="G803">
        <f>+YEAR(Tabla__192.168.1.8_POSEIDONSQL_APPFVT_01_SQLFacturasRendidas[[#This Row],[f_facturacion]])</f>
        <v>2018</v>
      </c>
      <c r="H80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803">
        <f>+IF(Tabla__192.168.1.8_POSEIDONSQL_APPFVT_01_SQLFacturasRendidas[[#This Row],[epc_nombre]]="RENDIDA",1,0)</f>
        <v>1</v>
      </c>
      <c r="J803">
        <f>+IF(Tabla__192.168.1.8_POSEIDONSQL_APPFVT_01_SQLFacturasRendidas[[#This Row],[usu_codigo]]="","",1)</f>
        <v>1</v>
      </c>
    </row>
    <row r="804" spans="1:10" x14ac:dyDescent="0.25">
      <c r="A804">
        <v>1</v>
      </c>
      <c r="B804">
        <v>3</v>
      </c>
      <c r="C804" t="s">
        <v>11</v>
      </c>
      <c r="D804" t="s">
        <v>15</v>
      </c>
      <c r="E804" t="s">
        <v>67</v>
      </c>
      <c r="F804">
        <v>3763</v>
      </c>
      <c r="G804">
        <f>+YEAR(Tabla__192.168.1.8_POSEIDONSQL_APPFVT_01_SQLFacturasRendidas[[#This Row],[f_facturacion]])</f>
        <v>2018</v>
      </c>
      <c r="H80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804">
        <f>+IF(Tabla__192.168.1.8_POSEIDONSQL_APPFVT_01_SQLFacturasRendidas[[#This Row],[epc_nombre]]="RENDIDA",1,0)</f>
        <v>1</v>
      </c>
      <c r="J804">
        <f>+IF(Tabla__192.168.1.8_POSEIDONSQL_APPFVT_01_SQLFacturasRendidas[[#This Row],[usu_codigo]]="","",1)</f>
        <v>1</v>
      </c>
    </row>
    <row r="805" spans="1:10" x14ac:dyDescent="0.25">
      <c r="A805">
        <v>1</v>
      </c>
      <c r="B805">
        <v>3</v>
      </c>
      <c r="C805" t="s">
        <v>11</v>
      </c>
      <c r="D805" t="s">
        <v>15</v>
      </c>
      <c r="E805" t="s">
        <v>67</v>
      </c>
      <c r="F805">
        <v>3764</v>
      </c>
      <c r="G805">
        <f>+YEAR(Tabla__192.168.1.8_POSEIDONSQL_APPFVT_01_SQLFacturasRendidas[[#This Row],[f_facturacion]])</f>
        <v>2018</v>
      </c>
      <c r="H80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805">
        <f>+IF(Tabla__192.168.1.8_POSEIDONSQL_APPFVT_01_SQLFacturasRendidas[[#This Row],[epc_nombre]]="RENDIDA",1,0)</f>
        <v>1</v>
      </c>
      <c r="J805">
        <f>+IF(Tabla__192.168.1.8_POSEIDONSQL_APPFVT_01_SQLFacturasRendidas[[#This Row],[usu_codigo]]="","",1)</f>
        <v>1</v>
      </c>
    </row>
    <row r="806" spans="1:10" x14ac:dyDescent="0.25">
      <c r="A806">
        <v>1</v>
      </c>
      <c r="B806">
        <v>3</v>
      </c>
      <c r="C806" t="s">
        <v>11</v>
      </c>
      <c r="D806" t="s">
        <v>15</v>
      </c>
      <c r="E806" t="s">
        <v>67</v>
      </c>
      <c r="F806">
        <v>3765</v>
      </c>
      <c r="G806">
        <f>+YEAR(Tabla__192.168.1.8_POSEIDONSQL_APPFVT_01_SQLFacturasRendidas[[#This Row],[f_facturacion]])</f>
        <v>2018</v>
      </c>
      <c r="H80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806">
        <f>+IF(Tabla__192.168.1.8_POSEIDONSQL_APPFVT_01_SQLFacturasRendidas[[#This Row],[epc_nombre]]="RENDIDA",1,0)</f>
        <v>1</v>
      </c>
      <c r="J806">
        <f>+IF(Tabla__192.168.1.8_POSEIDONSQL_APPFVT_01_SQLFacturasRendidas[[#This Row],[usu_codigo]]="","",1)</f>
        <v>1</v>
      </c>
    </row>
    <row r="807" spans="1:10" x14ac:dyDescent="0.25">
      <c r="A807">
        <v>1</v>
      </c>
      <c r="B807">
        <v>3</v>
      </c>
      <c r="C807" t="s">
        <v>11</v>
      </c>
      <c r="D807" t="s">
        <v>15</v>
      </c>
      <c r="E807" t="s">
        <v>51</v>
      </c>
      <c r="F807">
        <v>3768</v>
      </c>
      <c r="G807">
        <f>+YEAR(Tabla__192.168.1.8_POSEIDONSQL_APPFVT_01_SQLFacturasRendidas[[#This Row],[f_facturacion]])</f>
        <v>2018</v>
      </c>
      <c r="H80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807">
        <f>+IF(Tabla__192.168.1.8_POSEIDONSQL_APPFVT_01_SQLFacturasRendidas[[#This Row],[epc_nombre]]="RENDIDA",1,0)</f>
        <v>1</v>
      </c>
      <c r="J807">
        <f>+IF(Tabla__192.168.1.8_POSEIDONSQL_APPFVT_01_SQLFacturasRendidas[[#This Row],[usu_codigo]]="","",1)</f>
        <v>1</v>
      </c>
    </row>
    <row r="808" spans="1:10" x14ac:dyDescent="0.25">
      <c r="A808">
        <v>1</v>
      </c>
      <c r="B808">
        <v>3</v>
      </c>
      <c r="C808" t="s">
        <v>11</v>
      </c>
      <c r="D808" t="s">
        <v>15</v>
      </c>
      <c r="E808" t="s">
        <v>51</v>
      </c>
      <c r="F808">
        <v>3769</v>
      </c>
      <c r="G808">
        <f>+YEAR(Tabla__192.168.1.8_POSEIDONSQL_APPFVT_01_SQLFacturasRendidas[[#This Row],[f_facturacion]])</f>
        <v>2018</v>
      </c>
      <c r="H80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808">
        <f>+IF(Tabla__192.168.1.8_POSEIDONSQL_APPFVT_01_SQLFacturasRendidas[[#This Row],[epc_nombre]]="RENDIDA",1,0)</f>
        <v>1</v>
      </c>
      <c r="J808">
        <f>+IF(Tabla__192.168.1.8_POSEIDONSQL_APPFVT_01_SQLFacturasRendidas[[#This Row],[usu_codigo]]="","",1)</f>
        <v>1</v>
      </c>
    </row>
    <row r="809" spans="1:10" x14ac:dyDescent="0.25">
      <c r="A809">
        <v>1</v>
      </c>
      <c r="B809">
        <v>3</v>
      </c>
      <c r="C809" t="s">
        <v>11</v>
      </c>
      <c r="D809" t="s">
        <v>15</v>
      </c>
      <c r="E809" t="s">
        <v>51</v>
      </c>
      <c r="F809">
        <v>3770</v>
      </c>
      <c r="G809">
        <f>+YEAR(Tabla__192.168.1.8_POSEIDONSQL_APPFVT_01_SQLFacturasRendidas[[#This Row],[f_facturacion]])</f>
        <v>2018</v>
      </c>
      <c r="H80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809">
        <f>+IF(Tabla__192.168.1.8_POSEIDONSQL_APPFVT_01_SQLFacturasRendidas[[#This Row],[epc_nombre]]="RENDIDA",1,0)</f>
        <v>1</v>
      </c>
      <c r="J809">
        <f>+IF(Tabla__192.168.1.8_POSEIDONSQL_APPFVT_01_SQLFacturasRendidas[[#This Row],[usu_codigo]]="","",1)</f>
        <v>1</v>
      </c>
    </row>
    <row r="810" spans="1:10" x14ac:dyDescent="0.25">
      <c r="A810">
        <v>1</v>
      </c>
      <c r="B810">
        <v>3</v>
      </c>
      <c r="C810" t="s">
        <v>11</v>
      </c>
      <c r="D810" t="s">
        <v>15</v>
      </c>
      <c r="E810" t="s">
        <v>51</v>
      </c>
      <c r="F810">
        <v>3771</v>
      </c>
      <c r="G810">
        <f>+YEAR(Tabla__192.168.1.8_POSEIDONSQL_APPFVT_01_SQLFacturasRendidas[[#This Row],[f_facturacion]])</f>
        <v>2018</v>
      </c>
      <c r="H81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810">
        <f>+IF(Tabla__192.168.1.8_POSEIDONSQL_APPFVT_01_SQLFacturasRendidas[[#This Row],[epc_nombre]]="RENDIDA",1,0)</f>
        <v>1</v>
      </c>
      <c r="J810">
        <f>+IF(Tabla__192.168.1.8_POSEIDONSQL_APPFVT_01_SQLFacturasRendidas[[#This Row],[usu_codigo]]="","",1)</f>
        <v>1</v>
      </c>
    </row>
    <row r="811" spans="1:10" x14ac:dyDescent="0.25">
      <c r="A811">
        <v>1</v>
      </c>
      <c r="B811">
        <v>3</v>
      </c>
      <c r="C811" t="s">
        <v>11</v>
      </c>
      <c r="D811" t="s">
        <v>15</v>
      </c>
      <c r="E811" t="s">
        <v>51</v>
      </c>
      <c r="F811">
        <v>3772</v>
      </c>
      <c r="G811">
        <f>+YEAR(Tabla__192.168.1.8_POSEIDONSQL_APPFVT_01_SQLFacturasRendidas[[#This Row],[f_facturacion]])</f>
        <v>2018</v>
      </c>
      <c r="H81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811">
        <f>+IF(Tabla__192.168.1.8_POSEIDONSQL_APPFVT_01_SQLFacturasRendidas[[#This Row],[epc_nombre]]="RENDIDA",1,0)</f>
        <v>1</v>
      </c>
      <c r="J811">
        <f>+IF(Tabla__192.168.1.8_POSEIDONSQL_APPFVT_01_SQLFacturasRendidas[[#This Row],[usu_codigo]]="","",1)</f>
        <v>1</v>
      </c>
    </row>
    <row r="812" spans="1:10" x14ac:dyDescent="0.25">
      <c r="A812">
        <v>1</v>
      </c>
      <c r="B812">
        <v>3</v>
      </c>
      <c r="C812" t="s">
        <v>11</v>
      </c>
      <c r="D812" t="s">
        <v>15</v>
      </c>
      <c r="E812" t="s">
        <v>67</v>
      </c>
      <c r="F812">
        <v>3773</v>
      </c>
      <c r="G812">
        <f>+YEAR(Tabla__192.168.1.8_POSEIDONSQL_APPFVT_01_SQLFacturasRendidas[[#This Row],[f_facturacion]])</f>
        <v>2018</v>
      </c>
      <c r="H81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812">
        <f>+IF(Tabla__192.168.1.8_POSEIDONSQL_APPFVT_01_SQLFacturasRendidas[[#This Row],[epc_nombre]]="RENDIDA",1,0)</f>
        <v>1</v>
      </c>
      <c r="J812">
        <f>+IF(Tabla__192.168.1.8_POSEIDONSQL_APPFVT_01_SQLFacturasRendidas[[#This Row],[usu_codigo]]="","",1)</f>
        <v>1</v>
      </c>
    </row>
    <row r="813" spans="1:10" x14ac:dyDescent="0.25">
      <c r="A813">
        <v>1</v>
      </c>
      <c r="B813">
        <v>3</v>
      </c>
      <c r="C813" t="s">
        <v>11</v>
      </c>
      <c r="D813" t="s">
        <v>15</v>
      </c>
      <c r="E813" t="s">
        <v>51</v>
      </c>
      <c r="F813">
        <v>3773</v>
      </c>
      <c r="G813">
        <f>+YEAR(Tabla__192.168.1.8_POSEIDONSQL_APPFVT_01_SQLFacturasRendidas[[#This Row],[f_facturacion]])</f>
        <v>2018</v>
      </c>
      <c r="H81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813">
        <f>+IF(Tabla__192.168.1.8_POSEIDONSQL_APPFVT_01_SQLFacturasRendidas[[#This Row],[epc_nombre]]="RENDIDA",1,0)</f>
        <v>1</v>
      </c>
      <c r="J813">
        <f>+IF(Tabla__192.168.1.8_POSEIDONSQL_APPFVT_01_SQLFacturasRendidas[[#This Row],[usu_codigo]]="","",1)</f>
        <v>1</v>
      </c>
    </row>
    <row r="814" spans="1:10" x14ac:dyDescent="0.25">
      <c r="A814">
        <v>1</v>
      </c>
      <c r="B814">
        <v>3</v>
      </c>
      <c r="C814" t="s">
        <v>11</v>
      </c>
      <c r="D814" t="s">
        <v>15</v>
      </c>
      <c r="E814" t="s">
        <v>51</v>
      </c>
      <c r="F814">
        <v>3774</v>
      </c>
      <c r="G814">
        <f>+YEAR(Tabla__192.168.1.8_POSEIDONSQL_APPFVT_01_SQLFacturasRendidas[[#This Row],[f_facturacion]])</f>
        <v>2018</v>
      </c>
      <c r="H81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814">
        <f>+IF(Tabla__192.168.1.8_POSEIDONSQL_APPFVT_01_SQLFacturasRendidas[[#This Row],[epc_nombre]]="RENDIDA",1,0)</f>
        <v>1</v>
      </c>
      <c r="J814">
        <f>+IF(Tabla__192.168.1.8_POSEIDONSQL_APPFVT_01_SQLFacturasRendidas[[#This Row],[usu_codigo]]="","",1)</f>
        <v>1</v>
      </c>
    </row>
    <row r="815" spans="1:10" x14ac:dyDescent="0.25">
      <c r="A815">
        <v>1</v>
      </c>
      <c r="B815">
        <v>3</v>
      </c>
      <c r="C815" t="s">
        <v>11</v>
      </c>
      <c r="D815" t="s">
        <v>15</v>
      </c>
      <c r="E815" t="s">
        <v>51</v>
      </c>
      <c r="F815">
        <v>3775</v>
      </c>
      <c r="G815">
        <f>+YEAR(Tabla__192.168.1.8_POSEIDONSQL_APPFVT_01_SQLFacturasRendidas[[#This Row],[f_facturacion]])</f>
        <v>2018</v>
      </c>
      <c r="H81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815">
        <f>+IF(Tabla__192.168.1.8_POSEIDONSQL_APPFVT_01_SQLFacturasRendidas[[#This Row],[epc_nombre]]="RENDIDA",1,0)</f>
        <v>1</v>
      </c>
      <c r="J815">
        <f>+IF(Tabla__192.168.1.8_POSEIDONSQL_APPFVT_01_SQLFacturasRendidas[[#This Row],[usu_codigo]]="","",1)</f>
        <v>1</v>
      </c>
    </row>
    <row r="816" spans="1:10" x14ac:dyDescent="0.25">
      <c r="A816">
        <v>1</v>
      </c>
      <c r="B816">
        <v>3</v>
      </c>
      <c r="C816" t="s">
        <v>11</v>
      </c>
      <c r="D816" t="s">
        <v>15</v>
      </c>
      <c r="E816" t="s">
        <v>51</v>
      </c>
      <c r="F816">
        <v>3776</v>
      </c>
      <c r="G816">
        <f>+YEAR(Tabla__192.168.1.8_POSEIDONSQL_APPFVT_01_SQLFacturasRendidas[[#This Row],[f_facturacion]])</f>
        <v>2018</v>
      </c>
      <c r="H81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816">
        <f>+IF(Tabla__192.168.1.8_POSEIDONSQL_APPFVT_01_SQLFacturasRendidas[[#This Row],[epc_nombre]]="RENDIDA",1,0)</f>
        <v>1</v>
      </c>
      <c r="J816">
        <f>+IF(Tabla__192.168.1.8_POSEIDONSQL_APPFVT_01_SQLFacturasRendidas[[#This Row],[usu_codigo]]="","",1)</f>
        <v>1</v>
      </c>
    </row>
    <row r="817" spans="1:10" x14ac:dyDescent="0.25">
      <c r="A817">
        <v>1</v>
      </c>
      <c r="B817">
        <v>3</v>
      </c>
      <c r="C817" t="s">
        <v>11</v>
      </c>
      <c r="D817" t="s">
        <v>15</v>
      </c>
      <c r="E817" t="s">
        <v>51</v>
      </c>
      <c r="F817">
        <v>3777</v>
      </c>
      <c r="G817">
        <f>+YEAR(Tabla__192.168.1.8_POSEIDONSQL_APPFVT_01_SQLFacturasRendidas[[#This Row],[f_facturacion]])</f>
        <v>2018</v>
      </c>
      <c r="H81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817">
        <f>+IF(Tabla__192.168.1.8_POSEIDONSQL_APPFVT_01_SQLFacturasRendidas[[#This Row],[epc_nombre]]="RENDIDA",1,0)</f>
        <v>1</v>
      </c>
      <c r="J817">
        <f>+IF(Tabla__192.168.1.8_POSEIDONSQL_APPFVT_01_SQLFacturasRendidas[[#This Row],[usu_codigo]]="","",1)</f>
        <v>1</v>
      </c>
    </row>
    <row r="818" spans="1:10" x14ac:dyDescent="0.25">
      <c r="A818">
        <v>1</v>
      </c>
      <c r="B818">
        <v>3</v>
      </c>
      <c r="C818" t="s">
        <v>11</v>
      </c>
      <c r="D818" t="s">
        <v>15</v>
      </c>
      <c r="E818" t="s">
        <v>51</v>
      </c>
      <c r="F818">
        <v>3778</v>
      </c>
      <c r="G818">
        <f>+YEAR(Tabla__192.168.1.8_POSEIDONSQL_APPFVT_01_SQLFacturasRendidas[[#This Row],[f_facturacion]])</f>
        <v>2018</v>
      </c>
      <c r="H81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818">
        <f>+IF(Tabla__192.168.1.8_POSEIDONSQL_APPFVT_01_SQLFacturasRendidas[[#This Row],[epc_nombre]]="RENDIDA",1,0)</f>
        <v>1</v>
      </c>
      <c r="J818">
        <f>+IF(Tabla__192.168.1.8_POSEIDONSQL_APPFVT_01_SQLFacturasRendidas[[#This Row],[usu_codigo]]="","",1)</f>
        <v>1</v>
      </c>
    </row>
    <row r="819" spans="1:10" x14ac:dyDescent="0.25">
      <c r="A819">
        <v>1</v>
      </c>
      <c r="B819">
        <v>3</v>
      </c>
      <c r="C819" t="s">
        <v>11</v>
      </c>
      <c r="D819" t="s">
        <v>15</v>
      </c>
      <c r="E819" t="s">
        <v>68</v>
      </c>
      <c r="F819">
        <v>3784</v>
      </c>
      <c r="G819">
        <f>+YEAR(Tabla__192.168.1.8_POSEIDONSQL_APPFVT_01_SQLFacturasRendidas[[#This Row],[f_facturacion]])</f>
        <v>2018</v>
      </c>
      <c r="H81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819">
        <f>+IF(Tabla__192.168.1.8_POSEIDONSQL_APPFVT_01_SQLFacturasRendidas[[#This Row],[epc_nombre]]="RENDIDA",1,0)</f>
        <v>1</v>
      </c>
      <c r="J819">
        <f>+IF(Tabla__192.168.1.8_POSEIDONSQL_APPFVT_01_SQLFacturasRendidas[[#This Row],[usu_codigo]]="","",1)</f>
        <v>1</v>
      </c>
    </row>
    <row r="820" spans="1:10" x14ac:dyDescent="0.25">
      <c r="A820">
        <v>1</v>
      </c>
      <c r="B820">
        <v>3</v>
      </c>
      <c r="C820" t="s">
        <v>11</v>
      </c>
      <c r="D820" t="s">
        <v>15</v>
      </c>
      <c r="E820" t="s">
        <v>68</v>
      </c>
      <c r="F820">
        <v>3785</v>
      </c>
      <c r="G820">
        <f>+YEAR(Tabla__192.168.1.8_POSEIDONSQL_APPFVT_01_SQLFacturasRendidas[[#This Row],[f_facturacion]])</f>
        <v>2018</v>
      </c>
      <c r="H82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820">
        <f>+IF(Tabla__192.168.1.8_POSEIDONSQL_APPFVT_01_SQLFacturasRendidas[[#This Row],[epc_nombre]]="RENDIDA",1,0)</f>
        <v>1</v>
      </c>
      <c r="J820">
        <f>+IF(Tabla__192.168.1.8_POSEIDONSQL_APPFVT_01_SQLFacturasRendidas[[#This Row],[usu_codigo]]="","",1)</f>
        <v>1</v>
      </c>
    </row>
    <row r="821" spans="1:10" x14ac:dyDescent="0.25">
      <c r="A821">
        <v>1</v>
      </c>
      <c r="B821">
        <v>3</v>
      </c>
      <c r="C821" t="s">
        <v>11</v>
      </c>
      <c r="D821" t="s">
        <v>15</v>
      </c>
      <c r="E821" t="s">
        <v>68</v>
      </c>
      <c r="F821">
        <v>3786</v>
      </c>
      <c r="G821">
        <f>+YEAR(Tabla__192.168.1.8_POSEIDONSQL_APPFVT_01_SQLFacturasRendidas[[#This Row],[f_facturacion]])</f>
        <v>2018</v>
      </c>
      <c r="H82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821">
        <f>+IF(Tabla__192.168.1.8_POSEIDONSQL_APPFVT_01_SQLFacturasRendidas[[#This Row],[epc_nombre]]="RENDIDA",1,0)</f>
        <v>1</v>
      </c>
      <c r="J821">
        <f>+IF(Tabla__192.168.1.8_POSEIDONSQL_APPFVT_01_SQLFacturasRendidas[[#This Row],[usu_codigo]]="","",1)</f>
        <v>1</v>
      </c>
    </row>
    <row r="822" spans="1:10" x14ac:dyDescent="0.25">
      <c r="A822">
        <v>1</v>
      </c>
      <c r="B822">
        <v>3</v>
      </c>
      <c r="C822" t="s">
        <v>11</v>
      </c>
      <c r="D822" t="s">
        <v>15</v>
      </c>
      <c r="E822" t="s">
        <v>68</v>
      </c>
      <c r="F822">
        <v>3787</v>
      </c>
      <c r="G822">
        <f>+YEAR(Tabla__192.168.1.8_POSEIDONSQL_APPFVT_01_SQLFacturasRendidas[[#This Row],[f_facturacion]])</f>
        <v>2018</v>
      </c>
      <c r="H82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822">
        <f>+IF(Tabla__192.168.1.8_POSEIDONSQL_APPFVT_01_SQLFacturasRendidas[[#This Row],[epc_nombre]]="RENDIDA",1,0)</f>
        <v>1</v>
      </c>
      <c r="J822">
        <f>+IF(Tabla__192.168.1.8_POSEIDONSQL_APPFVT_01_SQLFacturasRendidas[[#This Row],[usu_codigo]]="","",1)</f>
        <v>1</v>
      </c>
    </row>
    <row r="823" spans="1:10" x14ac:dyDescent="0.25">
      <c r="A823">
        <v>1</v>
      </c>
      <c r="B823">
        <v>3</v>
      </c>
      <c r="C823" t="s">
        <v>11</v>
      </c>
      <c r="D823" t="s">
        <v>15</v>
      </c>
      <c r="E823" t="s">
        <v>68</v>
      </c>
      <c r="F823">
        <v>3788</v>
      </c>
      <c r="G823">
        <f>+YEAR(Tabla__192.168.1.8_POSEIDONSQL_APPFVT_01_SQLFacturasRendidas[[#This Row],[f_facturacion]])</f>
        <v>2018</v>
      </c>
      <c r="H82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823">
        <f>+IF(Tabla__192.168.1.8_POSEIDONSQL_APPFVT_01_SQLFacturasRendidas[[#This Row],[epc_nombre]]="RENDIDA",1,0)</f>
        <v>1</v>
      </c>
      <c r="J823">
        <f>+IF(Tabla__192.168.1.8_POSEIDONSQL_APPFVT_01_SQLFacturasRendidas[[#This Row],[usu_codigo]]="","",1)</f>
        <v>1</v>
      </c>
    </row>
    <row r="824" spans="1:10" x14ac:dyDescent="0.25">
      <c r="A824">
        <v>1</v>
      </c>
      <c r="B824">
        <v>3</v>
      </c>
      <c r="C824" t="s">
        <v>11</v>
      </c>
      <c r="D824" t="s">
        <v>15</v>
      </c>
      <c r="E824" t="s">
        <v>68</v>
      </c>
      <c r="F824">
        <v>3789</v>
      </c>
      <c r="G824">
        <f>+YEAR(Tabla__192.168.1.8_POSEIDONSQL_APPFVT_01_SQLFacturasRendidas[[#This Row],[f_facturacion]])</f>
        <v>2018</v>
      </c>
      <c r="H82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824">
        <f>+IF(Tabla__192.168.1.8_POSEIDONSQL_APPFVT_01_SQLFacturasRendidas[[#This Row],[epc_nombre]]="RENDIDA",1,0)</f>
        <v>1</v>
      </c>
      <c r="J824">
        <f>+IF(Tabla__192.168.1.8_POSEIDONSQL_APPFVT_01_SQLFacturasRendidas[[#This Row],[usu_codigo]]="","",1)</f>
        <v>1</v>
      </c>
    </row>
    <row r="825" spans="1:10" x14ac:dyDescent="0.25">
      <c r="A825">
        <v>1</v>
      </c>
      <c r="B825">
        <v>3</v>
      </c>
      <c r="C825" t="s">
        <v>11</v>
      </c>
      <c r="D825" t="s">
        <v>15</v>
      </c>
      <c r="E825" t="s">
        <v>68</v>
      </c>
      <c r="F825">
        <v>3790</v>
      </c>
      <c r="G825">
        <f>+YEAR(Tabla__192.168.1.8_POSEIDONSQL_APPFVT_01_SQLFacturasRendidas[[#This Row],[f_facturacion]])</f>
        <v>2018</v>
      </c>
      <c r="H82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825">
        <f>+IF(Tabla__192.168.1.8_POSEIDONSQL_APPFVT_01_SQLFacturasRendidas[[#This Row],[epc_nombre]]="RENDIDA",1,0)</f>
        <v>1</v>
      </c>
      <c r="J825">
        <f>+IF(Tabla__192.168.1.8_POSEIDONSQL_APPFVT_01_SQLFacturasRendidas[[#This Row],[usu_codigo]]="","",1)</f>
        <v>1</v>
      </c>
    </row>
    <row r="826" spans="1:10" x14ac:dyDescent="0.25">
      <c r="A826">
        <v>1</v>
      </c>
      <c r="B826">
        <v>3</v>
      </c>
      <c r="C826" t="s">
        <v>11</v>
      </c>
      <c r="D826" t="s">
        <v>15</v>
      </c>
      <c r="E826" t="s">
        <v>68</v>
      </c>
      <c r="F826">
        <v>3791</v>
      </c>
      <c r="G826">
        <f>+YEAR(Tabla__192.168.1.8_POSEIDONSQL_APPFVT_01_SQLFacturasRendidas[[#This Row],[f_facturacion]])</f>
        <v>2018</v>
      </c>
      <c r="H82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826">
        <f>+IF(Tabla__192.168.1.8_POSEIDONSQL_APPFVT_01_SQLFacturasRendidas[[#This Row],[epc_nombre]]="RENDIDA",1,0)</f>
        <v>1</v>
      </c>
      <c r="J826">
        <f>+IF(Tabla__192.168.1.8_POSEIDONSQL_APPFVT_01_SQLFacturasRendidas[[#This Row],[usu_codigo]]="","",1)</f>
        <v>1</v>
      </c>
    </row>
    <row r="827" spans="1:10" x14ac:dyDescent="0.25">
      <c r="A827">
        <v>1</v>
      </c>
      <c r="B827">
        <v>3</v>
      </c>
      <c r="C827" t="s">
        <v>11</v>
      </c>
      <c r="D827" t="s">
        <v>15</v>
      </c>
      <c r="E827" t="s">
        <v>68</v>
      </c>
      <c r="F827">
        <v>3792</v>
      </c>
      <c r="G827">
        <f>+YEAR(Tabla__192.168.1.8_POSEIDONSQL_APPFVT_01_SQLFacturasRendidas[[#This Row],[f_facturacion]])</f>
        <v>2018</v>
      </c>
      <c r="H82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827">
        <f>+IF(Tabla__192.168.1.8_POSEIDONSQL_APPFVT_01_SQLFacturasRendidas[[#This Row],[epc_nombre]]="RENDIDA",1,0)</f>
        <v>1</v>
      </c>
      <c r="J827">
        <f>+IF(Tabla__192.168.1.8_POSEIDONSQL_APPFVT_01_SQLFacturasRendidas[[#This Row],[usu_codigo]]="","",1)</f>
        <v>1</v>
      </c>
    </row>
    <row r="828" spans="1:10" x14ac:dyDescent="0.25">
      <c r="A828">
        <v>1</v>
      </c>
      <c r="B828">
        <v>3</v>
      </c>
      <c r="C828" t="s">
        <v>11</v>
      </c>
      <c r="D828" t="s">
        <v>15</v>
      </c>
      <c r="E828" t="s">
        <v>68</v>
      </c>
      <c r="F828">
        <v>3793</v>
      </c>
      <c r="G828">
        <f>+YEAR(Tabla__192.168.1.8_POSEIDONSQL_APPFVT_01_SQLFacturasRendidas[[#This Row],[f_facturacion]])</f>
        <v>2018</v>
      </c>
      <c r="H82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828">
        <f>+IF(Tabla__192.168.1.8_POSEIDONSQL_APPFVT_01_SQLFacturasRendidas[[#This Row],[epc_nombre]]="RENDIDA",1,0)</f>
        <v>1</v>
      </c>
      <c r="J828">
        <f>+IF(Tabla__192.168.1.8_POSEIDONSQL_APPFVT_01_SQLFacturasRendidas[[#This Row],[usu_codigo]]="","",1)</f>
        <v>1</v>
      </c>
    </row>
    <row r="829" spans="1:10" x14ac:dyDescent="0.25">
      <c r="A829">
        <v>1</v>
      </c>
      <c r="B829">
        <v>3</v>
      </c>
      <c r="C829" t="s">
        <v>11</v>
      </c>
      <c r="D829" t="s">
        <v>15</v>
      </c>
      <c r="E829" t="s">
        <v>68</v>
      </c>
      <c r="F829">
        <v>3794</v>
      </c>
      <c r="G829">
        <f>+YEAR(Tabla__192.168.1.8_POSEIDONSQL_APPFVT_01_SQLFacturasRendidas[[#This Row],[f_facturacion]])</f>
        <v>2018</v>
      </c>
      <c r="H82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829">
        <f>+IF(Tabla__192.168.1.8_POSEIDONSQL_APPFVT_01_SQLFacturasRendidas[[#This Row],[epc_nombre]]="RENDIDA",1,0)</f>
        <v>1</v>
      </c>
      <c r="J829">
        <f>+IF(Tabla__192.168.1.8_POSEIDONSQL_APPFVT_01_SQLFacturasRendidas[[#This Row],[usu_codigo]]="","",1)</f>
        <v>1</v>
      </c>
    </row>
    <row r="830" spans="1:10" x14ac:dyDescent="0.25">
      <c r="A830">
        <v>1</v>
      </c>
      <c r="B830">
        <v>3</v>
      </c>
      <c r="C830" t="s">
        <v>11</v>
      </c>
      <c r="D830" t="s">
        <v>15</v>
      </c>
      <c r="E830" t="s">
        <v>68</v>
      </c>
      <c r="F830">
        <v>3795</v>
      </c>
      <c r="G830">
        <f>+YEAR(Tabla__192.168.1.8_POSEIDONSQL_APPFVT_01_SQLFacturasRendidas[[#This Row],[f_facturacion]])</f>
        <v>2018</v>
      </c>
      <c r="H83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830">
        <f>+IF(Tabla__192.168.1.8_POSEIDONSQL_APPFVT_01_SQLFacturasRendidas[[#This Row],[epc_nombre]]="RENDIDA",1,0)</f>
        <v>1</v>
      </c>
      <c r="J830">
        <f>+IF(Tabla__192.168.1.8_POSEIDONSQL_APPFVT_01_SQLFacturasRendidas[[#This Row],[usu_codigo]]="","",1)</f>
        <v>1</v>
      </c>
    </row>
    <row r="831" spans="1:10" x14ac:dyDescent="0.25">
      <c r="A831">
        <v>1</v>
      </c>
      <c r="B831">
        <v>3</v>
      </c>
      <c r="C831" t="s">
        <v>11</v>
      </c>
      <c r="D831" t="s">
        <v>15</v>
      </c>
      <c r="E831" t="s">
        <v>68</v>
      </c>
      <c r="F831">
        <v>3796</v>
      </c>
      <c r="G831">
        <f>+YEAR(Tabla__192.168.1.8_POSEIDONSQL_APPFVT_01_SQLFacturasRendidas[[#This Row],[f_facturacion]])</f>
        <v>2018</v>
      </c>
      <c r="H83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831">
        <f>+IF(Tabla__192.168.1.8_POSEIDONSQL_APPFVT_01_SQLFacturasRendidas[[#This Row],[epc_nombre]]="RENDIDA",1,0)</f>
        <v>1</v>
      </c>
      <c r="J831">
        <f>+IF(Tabla__192.168.1.8_POSEIDONSQL_APPFVT_01_SQLFacturasRendidas[[#This Row],[usu_codigo]]="","",1)</f>
        <v>1</v>
      </c>
    </row>
    <row r="832" spans="1:10" x14ac:dyDescent="0.25">
      <c r="A832">
        <v>1</v>
      </c>
      <c r="B832">
        <v>3</v>
      </c>
      <c r="C832" t="s">
        <v>11</v>
      </c>
      <c r="D832" t="s">
        <v>15</v>
      </c>
      <c r="E832" t="s">
        <v>68</v>
      </c>
      <c r="F832">
        <v>3797</v>
      </c>
      <c r="G832">
        <f>+YEAR(Tabla__192.168.1.8_POSEIDONSQL_APPFVT_01_SQLFacturasRendidas[[#This Row],[f_facturacion]])</f>
        <v>2018</v>
      </c>
      <c r="H83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832">
        <f>+IF(Tabla__192.168.1.8_POSEIDONSQL_APPFVT_01_SQLFacturasRendidas[[#This Row],[epc_nombre]]="RENDIDA",1,0)</f>
        <v>1</v>
      </c>
      <c r="J832">
        <f>+IF(Tabla__192.168.1.8_POSEIDONSQL_APPFVT_01_SQLFacturasRendidas[[#This Row],[usu_codigo]]="","",1)</f>
        <v>1</v>
      </c>
    </row>
    <row r="833" spans="1:10" x14ac:dyDescent="0.25">
      <c r="A833">
        <v>1</v>
      </c>
      <c r="B833">
        <v>3</v>
      </c>
      <c r="C833" t="s">
        <v>11</v>
      </c>
      <c r="D833" t="s">
        <v>15</v>
      </c>
      <c r="E833" t="s">
        <v>68</v>
      </c>
      <c r="F833">
        <v>3798</v>
      </c>
      <c r="G833">
        <f>+YEAR(Tabla__192.168.1.8_POSEIDONSQL_APPFVT_01_SQLFacturasRendidas[[#This Row],[f_facturacion]])</f>
        <v>2018</v>
      </c>
      <c r="H83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833">
        <f>+IF(Tabla__192.168.1.8_POSEIDONSQL_APPFVT_01_SQLFacturasRendidas[[#This Row],[epc_nombre]]="RENDIDA",1,0)</f>
        <v>1</v>
      </c>
      <c r="J833">
        <f>+IF(Tabla__192.168.1.8_POSEIDONSQL_APPFVT_01_SQLFacturasRendidas[[#This Row],[usu_codigo]]="","",1)</f>
        <v>1</v>
      </c>
    </row>
    <row r="834" spans="1:10" x14ac:dyDescent="0.25">
      <c r="A834">
        <v>1</v>
      </c>
      <c r="B834">
        <v>3</v>
      </c>
      <c r="C834" t="s">
        <v>11</v>
      </c>
      <c r="D834" t="s">
        <v>15</v>
      </c>
      <c r="E834" t="s">
        <v>68</v>
      </c>
      <c r="F834">
        <v>3799</v>
      </c>
      <c r="G834">
        <f>+YEAR(Tabla__192.168.1.8_POSEIDONSQL_APPFVT_01_SQLFacturasRendidas[[#This Row],[f_facturacion]])</f>
        <v>2018</v>
      </c>
      <c r="H83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834">
        <f>+IF(Tabla__192.168.1.8_POSEIDONSQL_APPFVT_01_SQLFacturasRendidas[[#This Row],[epc_nombre]]="RENDIDA",1,0)</f>
        <v>1</v>
      </c>
      <c r="J834">
        <f>+IF(Tabla__192.168.1.8_POSEIDONSQL_APPFVT_01_SQLFacturasRendidas[[#This Row],[usu_codigo]]="","",1)</f>
        <v>1</v>
      </c>
    </row>
    <row r="835" spans="1:10" x14ac:dyDescent="0.25">
      <c r="A835">
        <v>1</v>
      </c>
      <c r="B835">
        <v>3</v>
      </c>
      <c r="C835" t="s">
        <v>11</v>
      </c>
      <c r="D835" t="s">
        <v>15</v>
      </c>
      <c r="E835" t="s">
        <v>68</v>
      </c>
      <c r="F835">
        <v>3800</v>
      </c>
      <c r="G835">
        <f>+YEAR(Tabla__192.168.1.8_POSEIDONSQL_APPFVT_01_SQLFacturasRendidas[[#This Row],[f_facturacion]])</f>
        <v>2018</v>
      </c>
      <c r="H83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835">
        <f>+IF(Tabla__192.168.1.8_POSEIDONSQL_APPFVT_01_SQLFacturasRendidas[[#This Row],[epc_nombre]]="RENDIDA",1,0)</f>
        <v>1</v>
      </c>
      <c r="J835">
        <f>+IF(Tabla__192.168.1.8_POSEIDONSQL_APPFVT_01_SQLFacturasRendidas[[#This Row],[usu_codigo]]="","",1)</f>
        <v>1</v>
      </c>
    </row>
    <row r="836" spans="1:10" x14ac:dyDescent="0.25">
      <c r="A836">
        <v>1</v>
      </c>
      <c r="B836">
        <v>3</v>
      </c>
      <c r="C836" t="s">
        <v>81</v>
      </c>
      <c r="D836" t="s">
        <v>15</v>
      </c>
      <c r="E836" t="s">
        <v>39</v>
      </c>
      <c r="F836">
        <v>90476</v>
      </c>
      <c r="G836">
        <f>+YEAR(Tabla__192.168.1.8_POSEIDONSQL_APPFVT_01_SQLFacturasRendidas[[#This Row],[f_facturacion]])</f>
        <v>2018</v>
      </c>
      <c r="H83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836">
        <f>+IF(Tabla__192.168.1.8_POSEIDONSQL_APPFVT_01_SQLFacturasRendidas[[#This Row],[epc_nombre]]="RENDIDA",1,0)</f>
        <v>1</v>
      </c>
      <c r="J836">
        <f>+IF(Tabla__192.168.1.8_POSEIDONSQL_APPFVT_01_SQLFacturasRendidas[[#This Row],[usu_codigo]]="","",1)</f>
        <v>1</v>
      </c>
    </row>
    <row r="837" spans="1:10" x14ac:dyDescent="0.25">
      <c r="A837">
        <v>1</v>
      </c>
      <c r="B837">
        <v>3</v>
      </c>
      <c r="C837" t="s">
        <v>81</v>
      </c>
      <c r="D837" t="s">
        <v>15</v>
      </c>
      <c r="E837" t="s">
        <v>39</v>
      </c>
      <c r="F837">
        <v>90477</v>
      </c>
      <c r="G837">
        <f>+YEAR(Tabla__192.168.1.8_POSEIDONSQL_APPFVT_01_SQLFacturasRendidas[[#This Row],[f_facturacion]])</f>
        <v>2018</v>
      </c>
      <c r="H83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837">
        <f>+IF(Tabla__192.168.1.8_POSEIDONSQL_APPFVT_01_SQLFacturasRendidas[[#This Row],[epc_nombre]]="RENDIDA",1,0)</f>
        <v>1</v>
      </c>
      <c r="J837">
        <f>+IF(Tabla__192.168.1.8_POSEIDONSQL_APPFVT_01_SQLFacturasRendidas[[#This Row],[usu_codigo]]="","",1)</f>
        <v>1</v>
      </c>
    </row>
    <row r="838" spans="1:10" x14ac:dyDescent="0.25">
      <c r="A838">
        <v>1</v>
      </c>
      <c r="B838">
        <v>3</v>
      </c>
      <c r="C838" t="s">
        <v>81</v>
      </c>
      <c r="D838" t="s">
        <v>15</v>
      </c>
      <c r="E838" t="s">
        <v>39</v>
      </c>
      <c r="F838">
        <v>90478</v>
      </c>
      <c r="G838">
        <f>+YEAR(Tabla__192.168.1.8_POSEIDONSQL_APPFVT_01_SQLFacturasRendidas[[#This Row],[f_facturacion]])</f>
        <v>2018</v>
      </c>
      <c r="H83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838">
        <f>+IF(Tabla__192.168.1.8_POSEIDONSQL_APPFVT_01_SQLFacturasRendidas[[#This Row],[epc_nombre]]="RENDIDA",1,0)</f>
        <v>1</v>
      </c>
      <c r="J838">
        <f>+IF(Tabla__192.168.1.8_POSEIDONSQL_APPFVT_01_SQLFacturasRendidas[[#This Row],[usu_codigo]]="","",1)</f>
        <v>1</v>
      </c>
    </row>
    <row r="839" spans="1:10" x14ac:dyDescent="0.25">
      <c r="A839">
        <v>1</v>
      </c>
      <c r="B839">
        <v>3</v>
      </c>
      <c r="C839" t="s">
        <v>81</v>
      </c>
      <c r="D839" t="s">
        <v>15</v>
      </c>
      <c r="E839" t="s">
        <v>39</v>
      </c>
      <c r="F839">
        <v>90479</v>
      </c>
      <c r="G839">
        <f>+YEAR(Tabla__192.168.1.8_POSEIDONSQL_APPFVT_01_SQLFacturasRendidas[[#This Row],[f_facturacion]])</f>
        <v>2018</v>
      </c>
      <c r="H83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839">
        <f>+IF(Tabla__192.168.1.8_POSEIDONSQL_APPFVT_01_SQLFacturasRendidas[[#This Row],[epc_nombre]]="RENDIDA",1,0)</f>
        <v>1</v>
      </c>
      <c r="J839">
        <f>+IF(Tabla__192.168.1.8_POSEIDONSQL_APPFVT_01_SQLFacturasRendidas[[#This Row],[usu_codigo]]="","",1)</f>
        <v>1</v>
      </c>
    </row>
    <row r="840" spans="1:10" x14ac:dyDescent="0.25">
      <c r="A840">
        <v>1</v>
      </c>
      <c r="B840">
        <v>3</v>
      </c>
      <c r="C840" t="s">
        <v>81</v>
      </c>
      <c r="D840" t="s">
        <v>15</v>
      </c>
      <c r="E840" t="s">
        <v>39</v>
      </c>
      <c r="F840">
        <v>90480</v>
      </c>
      <c r="G840">
        <f>+YEAR(Tabla__192.168.1.8_POSEIDONSQL_APPFVT_01_SQLFacturasRendidas[[#This Row],[f_facturacion]])</f>
        <v>2018</v>
      </c>
      <c r="H84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840">
        <f>+IF(Tabla__192.168.1.8_POSEIDONSQL_APPFVT_01_SQLFacturasRendidas[[#This Row],[epc_nombre]]="RENDIDA",1,0)</f>
        <v>1</v>
      </c>
      <c r="J840">
        <f>+IF(Tabla__192.168.1.8_POSEIDONSQL_APPFVT_01_SQLFacturasRendidas[[#This Row],[usu_codigo]]="","",1)</f>
        <v>1</v>
      </c>
    </row>
    <row r="841" spans="1:10" x14ac:dyDescent="0.25">
      <c r="A841">
        <v>1</v>
      </c>
      <c r="B841">
        <v>3</v>
      </c>
      <c r="C841" t="s">
        <v>81</v>
      </c>
      <c r="D841" t="s">
        <v>15</v>
      </c>
      <c r="E841" t="s">
        <v>39</v>
      </c>
      <c r="F841">
        <v>90481</v>
      </c>
      <c r="G841">
        <f>+YEAR(Tabla__192.168.1.8_POSEIDONSQL_APPFVT_01_SQLFacturasRendidas[[#This Row],[f_facturacion]])</f>
        <v>2018</v>
      </c>
      <c r="H84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841">
        <f>+IF(Tabla__192.168.1.8_POSEIDONSQL_APPFVT_01_SQLFacturasRendidas[[#This Row],[epc_nombre]]="RENDIDA",1,0)</f>
        <v>1</v>
      </c>
      <c r="J841">
        <f>+IF(Tabla__192.168.1.8_POSEIDONSQL_APPFVT_01_SQLFacturasRendidas[[#This Row],[usu_codigo]]="","",1)</f>
        <v>1</v>
      </c>
    </row>
    <row r="842" spans="1:10" x14ac:dyDescent="0.25">
      <c r="A842">
        <v>1</v>
      </c>
      <c r="B842">
        <v>3</v>
      </c>
      <c r="C842" t="s">
        <v>81</v>
      </c>
      <c r="D842" t="s">
        <v>15</v>
      </c>
      <c r="E842" t="s">
        <v>39</v>
      </c>
      <c r="F842">
        <v>90482</v>
      </c>
      <c r="G842">
        <f>+YEAR(Tabla__192.168.1.8_POSEIDONSQL_APPFVT_01_SQLFacturasRendidas[[#This Row],[f_facturacion]])</f>
        <v>2018</v>
      </c>
      <c r="H84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842">
        <f>+IF(Tabla__192.168.1.8_POSEIDONSQL_APPFVT_01_SQLFacturasRendidas[[#This Row],[epc_nombre]]="RENDIDA",1,0)</f>
        <v>1</v>
      </c>
      <c r="J842">
        <f>+IF(Tabla__192.168.1.8_POSEIDONSQL_APPFVT_01_SQLFacturasRendidas[[#This Row],[usu_codigo]]="","",1)</f>
        <v>1</v>
      </c>
    </row>
    <row r="843" spans="1:10" x14ac:dyDescent="0.25">
      <c r="A843">
        <v>1</v>
      </c>
      <c r="B843">
        <v>3</v>
      </c>
      <c r="C843" t="s">
        <v>81</v>
      </c>
      <c r="D843" t="s">
        <v>15</v>
      </c>
      <c r="E843" t="s">
        <v>39</v>
      </c>
      <c r="F843">
        <v>90483</v>
      </c>
      <c r="G843">
        <f>+YEAR(Tabla__192.168.1.8_POSEIDONSQL_APPFVT_01_SQLFacturasRendidas[[#This Row],[f_facturacion]])</f>
        <v>2018</v>
      </c>
      <c r="H84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843">
        <f>+IF(Tabla__192.168.1.8_POSEIDONSQL_APPFVT_01_SQLFacturasRendidas[[#This Row],[epc_nombre]]="RENDIDA",1,0)</f>
        <v>1</v>
      </c>
      <c r="J843">
        <f>+IF(Tabla__192.168.1.8_POSEIDONSQL_APPFVT_01_SQLFacturasRendidas[[#This Row],[usu_codigo]]="","",1)</f>
        <v>1</v>
      </c>
    </row>
    <row r="844" spans="1:10" x14ac:dyDescent="0.25">
      <c r="A844">
        <v>1</v>
      </c>
      <c r="B844">
        <v>3</v>
      </c>
      <c r="C844" t="s">
        <v>81</v>
      </c>
      <c r="D844" t="s">
        <v>15</v>
      </c>
      <c r="E844" t="s">
        <v>39</v>
      </c>
      <c r="F844">
        <v>90484</v>
      </c>
      <c r="G844">
        <f>+YEAR(Tabla__192.168.1.8_POSEIDONSQL_APPFVT_01_SQLFacturasRendidas[[#This Row],[f_facturacion]])</f>
        <v>2018</v>
      </c>
      <c r="H84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844">
        <f>+IF(Tabla__192.168.1.8_POSEIDONSQL_APPFVT_01_SQLFacturasRendidas[[#This Row],[epc_nombre]]="RENDIDA",1,0)</f>
        <v>1</v>
      </c>
      <c r="J844">
        <f>+IF(Tabla__192.168.1.8_POSEIDONSQL_APPFVT_01_SQLFacturasRendidas[[#This Row],[usu_codigo]]="","",1)</f>
        <v>1</v>
      </c>
    </row>
    <row r="845" spans="1:10" x14ac:dyDescent="0.25">
      <c r="A845">
        <v>1</v>
      </c>
      <c r="B845">
        <v>3</v>
      </c>
      <c r="C845" t="s">
        <v>81</v>
      </c>
      <c r="D845" t="s">
        <v>15</v>
      </c>
      <c r="E845" t="s">
        <v>39</v>
      </c>
      <c r="F845">
        <v>90485</v>
      </c>
      <c r="G845">
        <f>+YEAR(Tabla__192.168.1.8_POSEIDONSQL_APPFVT_01_SQLFacturasRendidas[[#This Row],[f_facturacion]])</f>
        <v>2018</v>
      </c>
      <c r="H84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845">
        <f>+IF(Tabla__192.168.1.8_POSEIDONSQL_APPFVT_01_SQLFacturasRendidas[[#This Row],[epc_nombre]]="RENDIDA",1,0)</f>
        <v>1</v>
      </c>
      <c r="J845">
        <f>+IF(Tabla__192.168.1.8_POSEIDONSQL_APPFVT_01_SQLFacturasRendidas[[#This Row],[usu_codigo]]="","",1)</f>
        <v>1</v>
      </c>
    </row>
    <row r="846" spans="1:10" x14ac:dyDescent="0.25">
      <c r="A846">
        <v>1</v>
      </c>
      <c r="B846">
        <v>3</v>
      </c>
      <c r="C846" t="s">
        <v>81</v>
      </c>
      <c r="D846" t="s">
        <v>15</v>
      </c>
      <c r="E846" t="s">
        <v>39</v>
      </c>
      <c r="F846">
        <v>90486</v>
      </c>
      <c r="G846">
        <f>+YEAR(Tabla__192.168.1.8_POSEIDONSQL_APPFVT_01_SQLFacturasRendidas[[#This Row],[f_facturacion]])</f>
        <v>2018</v>
      </c>
      <c r="H84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846">
        <f>+IF(Tabla__192.168.1.8_POSEIDONSQL_APPFVT_01_SQLFacturasRendidas[[#This Row],[epc_nombre]]="RENDIDA",1,0)</f>
        <v>1</v>
      </c>
      <c r="J846">
        <f>+IF(Tabla__192.168.1.8_POSEIDONSQL_APPFVT_01_SQLFacturasRendidas[[#This Row],[usu_codigo]]="","",1)</f>
        <v>1</v>
      </c>
    </row>
    <row r="847" spans="1:10" x14ac:dyDescent="0.25">
      <c r="A847">
        <v>1</v>
      </c>
      <c r="B847">
        <v>3</v>
      </c>
      <c r="C847" t="s">
        <v>81</v>
      </c>
      <c r="D847" t="s">
        <v>15</v>
      </c>
      <c r="E847" t="s">
        <v>39</v>
      </c>
      <c r="F847">
        <v>90487</v>
      </c>
      <c r="G847">
        <f>+YEAR(Tabla__192.168.1.8_POSEIDONSQL_APPFVT_01_SQLFacturasRendidas[[#This Row],[f_facturacion]])</f>
        <v>2018</v>
      </c>
      <c r="H84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847">
        <f>+IF(Tabla__192.168.1.8_POSEIDONSQL_APPFVT_01_SQLFacturasRendidas[[#This Row],[epc_nombre]]="RENDIDA",1,0)</f>
        <v>1</v>
      </c>
      <c r="J847">
        <f>+IF(Tabla__192.168.1.8_POSEIDONSQL_APPFVT_01_SQLFacturasRendidas[[#This Row],[usu_codigo]]="","",1)</f>
        <v>1</v>
      </c>
    </row>
    <row r="848" spans="1:10" x14ac:dyDescent="0.25">
      <c r="A848">
        <v>1</v>
      </c>
      <c r="B848">
        <v>3</v>
      </c>
      <c r="C848" t="s">
        <v>81</v>
      </c>
      <c r="D848" t="s">
        <v>15</v>
      </c>
      <c r="E848" t="s">
        <v>39</v>
      </c>
      <c r="F848">
        <v>90488</v>
      </c>
      <c r="G848">
        <f>+YEAR(Tabla__192.168.1.8_POSEIDONSQL_APPFVT_01_SQLFacturasRendidas[[#This Row],[f_facturacion]])</f>
        <v>2018</v>
      </c>
      <c r="H84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848">
        <f>+IF(Tabla__192.168.1.8_POSEIDONSQL_APPFVT_01_SQLFacturasRendidas[[#This Row],[epc_nombre]]="RENDIDA",1,0)</f>
        <v>1</v>
      </c>
      <c r="J848">
        <f>+IF(Tabla__192.168.1.8_POSEIDONSQL_APPFVT_01_SQLFacturasRendidas[[#This Row],[usu_codigo]]="","",1)</f>
        <v>1</v>
      </c>
    </row>
    <row r="849" spans="1:10" x14ac:dyDescent="0.25">
      <c r="A849">
        <v>1</v>
      </c>
      <c r="B849">
        <v>3</v>
      </c>
      <c r="C849" t="s">
        <v>81</v>
      </c>
      <c r="D849" t="s">
        <v>15</v>
      </c>
      <c r="E849" t="s">
        <v>39</v>
      </c>
      <c r="F849">
        <v>90489</v>
      </c>
      <c r="G849">
        <f>+YEAR(Tabla__192.168.1.8_POSEIDONSQL_APPFVT_01_SQLFacturasRendidas[[#This Row],[f_facturacion]])</f>
        <v>2018</v>
      </c>
      <c r="H84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849">
        <f>+IF(Tabla__192.168.1.8_POSEIDONSQL_APPFVT_01_SQLFacturasRendidas[[#This Row],[epc_nombre]]="RENDIDA",1,0)</f>
        <v>1</v>
      </c>
      <c r="J849">
        <f>+IF(Tabla__192.168.1.8_POSEIDONSQL_APPFVT_01_SQLFacturasRendidas[[#This Row],[usu_codigo]]="","",1)</f>
        <v>1</v>
      </c>
    </row>
    <row r="850" spans="1:10" x14ac:dyDescent="0.25">
      <c r="A850">
        <v>1</v>
      </c>
      <c r="B850">
        <v>3</v>
      </c>
      <c r="C850" t="s">
        <v>81</v>
      </c>
      <c r="D850" t="s">
        <v>15</v>
      </c>
      <c r="E850" t="s">
        <v>39</v>
      </c>
      <c r="F850">
        <v>90490</v>
      </c>
      <c r="G850">
        <f>+YEAR(Tabla__192.168.1.8_POSEIDONSQL_APPFVT_01_SQLFacturasRendidas[[#This Row],[f_facturacion]])</f>
        <v>2018</v>
      </c>
      <c r="H85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850">
        <f>+IF(Tabla__192.168.1.8_POSEIDONSQL_APPFVT_01_SQLFacturasRendidas[[#This Row],[epc_nombre]]="RENDIDA",1,0)</f>
        <v>1</v>
      </c>
      <c r="J850">
        <f>+IF(Tabla__192.168.1.8_POSEIDONSQL_APPFVT_01_SQLFacturasRendidas[[#This Row],[usu_codigo]]="","",1)</f>
        <v>1</v>
      </c>
    </row>
    <row r="851" spans="1:10" x14ac:dyDescent="0.25">
      <c r="A851">
        <v>1</v>
      </c>
      <c r="B851">
        <v>3</v>
      </c>
      <c r="C851" t="s">
        <v>81</v>
      </c>
      <c r="D851" t="s">
        <v>15</v>
      </c>
      <c r="E851" t="s">
        <v>39</v>
      </c>
      <c r="F851">
        <v>90491</v>
      </c>
      <c r="G851">
        <f>+YEAR(Tabla__192.168.1.8_POSEIDONSQL_APPFVT_01_SQLFacturasRendidas[[#This Row],[f_facturacion]])</f>
        <v>2018</v>
      </c>
      <c r="H85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851">
        <f>+IF(Tabla__192.168.1.8_POSEIDONSQL_APPFVT_01_SQLFacturasRendidas[[#This Row],[epc_nombre]]="RENDIDA",1,0)</f>
        <v>1</v>
      </c>
      <c r="J851">
        <f>+IF(Tabla__192.168.1.8_POSEIDONSQL_APPFVT_01_SQLFacturasRendidas[[#This Row],[usu_codigo]]="","",1)</f>
        <v>1</v>
      </c>
    </row>
    <row r="852" spans="1:10" x14ac:dyDescent="0.25">
      <c r="A852">
        <v>1</v>
      </c>
      <c r="B852">
        <v>3</v>
      </c>
      <c r="C852" t="s">
        <v>81</v>
      </c>
      <c r="D852" t="s">
        <v>23</v>
      </c>
      <c r="E852" t="s">
        <v>39</v>
      </c>
      <c r="F852">
        <v>90492</v>
      </c>
      <c r="G852">
        <f>+YEAR(Tabla__192.168.1.8_POSEIDONSQL_APPFVT_01_SQLFacturasRendidas[[#This Row],[f_facturacion]])</f>
        <v>2018</v>
      </c>
      <c r="H85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852">
        <f>+IF(Tabla__192.168.1.8_POSEIDONSQL_APPFVT_01_SQLFacturasRendidas[[#This Row],[epc_nombre]]="RENDIDA",1,0)</f>
        <v>0</v>
      </c>
      <c r="J852">
        <f>+IF(Tabla__192.168.1.8_POSEIDONSQL_APPFVT_01_SQLFacturasRendidas[[#This Row],[usu_codigo]]="","",1)</f>
        <v>1</v>
      </c>
    </row>
    <row r="853" spans="1:10" x14ac:dyDescent="0.25">
      <c r="A853">
        <v>1</v>
      </c>
      <c r="B853">
        <v>3</v>
      </c>
      <c r="C853" t="s">
        <v>81</v>
      </c>
      <c r="D853" t="s">
        <v>15</v>
      </c>
      <c r="E853" t="s">
        <v>39</v>
      </c>
      <c r="F853">
        <v>90493</v>
      </c>
      <c r="G853">
        <f>+YEAR(Tabla__192.168.1.8_POSEIDONSQL_APPFVT_01_SQLFacturasRendidas[[#This Row],[f_facturacion]])</f>
        <v>2018</v>
      </c>
      <c r="H85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853">
        <f>+IF(Tabla__192.168.1.8_POSEIDONSQL_APPFVT_01_SQLFacturasRendidas[[#This Row],[epc_nombre]]="RENDIDA",1,0)</f>
        <v>1</v>
      </c>
      <c r="J853">
        <f>+IF(Tabla__192.168.1.8_POSEIDONSQL_APPFVT_01_SQLFacturasRendidas[[#This Row],[usu_codigo]]="","",1)</f>
        <v>1</v>
      </c>
    </row>
    <row r="854" spans="1:10" x14ac:dyDescent="0.25">
      <c r="A854">
        <v>1</v>
      </c>
      <c r="B854">
        <v>3</v>
      </c>
      <c r="C854" t="s">
        <v>81</v>
      </c>
      <c r="D854" t="s">
        <v>15</v>
      </c>
      <c r="E854" t="s">
        <v>39</v>
      </c>
      <c r="F854">
        <v>90494</v>
      </c>
      <c r="G854">
        <f>+YEAR(Tabla__192.168.1.8_POSEIDONSQL_APPFVT_01_SQLFacturasRendidas[[#This Row],[f_facturacion]])</f>
        <v>2018</v>
      </c>
      <c r="H85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854">
        <f>+IF(Tabla__192.168.1.8_POSEIDONSQL_APPFVT_01_SQLFacturasRendidas[[#This Row],[epc_nombre]]="RENDIDA",1,0)</f>
        <v>1</v>
      </c>
      <c r="J854">
        <f>+IF(Tabla__192.168.1.8_POSEIDONSQL_APPFVT_01_SQLFacturasRendidas[[#This Row],[usu_codigo]]="","",1)</f>
        <v>1</v>
      </c>
    </row>
    <row r="855" spans="1:10" x14ac:dyDescent="0.25">
      <c r="A855">
        <v>1</v>
      </c>
      <c r="B855">
        <v>3</v>
      </c>
      <c r="C855" t="s">
        <v>81</v>
      </c>
      <c r="D855" t="s">
        <v>15</v>
      </c>
      <c r="E855" t="s">
        <v>39</v>
      </c>
      <c r="F855">
        <v>90495</v>
      </c>
      <c r="G855">
        <f>+YEAR(Tabla__192.168.1.8_POSEIDONSQL_APPFVT_01_SQLFacturasRendidas[[#This Row],[f_facturacion]])</f>
        <v>2018</v>
      </c>
      <c r="H85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855">
        <f>+IF(Tabla__192.168.1.8_POSEIDONSQL_APPFVT_01_SQLFacturasRendidas[[#This Row],[epc_nombre]]="RENDIDA",1,0)</f>
        <v>1</v>
      </c>
      <c r="J855">
        <f>+IF(Tabla__192.168.1.8_POSEIDONSQL_APPFVT_01_SQLFacturasRendidas[[#This Row],[usu_codigo]]="","",1)</f>
        <v>1</v>
      </c>
    </row>
    <row r="856" spans="1:10" x14ac:dyDescent="0.25">
      <c r="A856">
        <v>1</v>
      </c>
      <c r="B856">
        <v>3</v>
      </c>
      <c r="C856" t="s">
        <v>81</v>
      </c>
      <c r="D856" t="s">
        <v>23</v>
      </c>
      <c r="E856" t="s">
        <v>39</v>
      </c>
      <c r="F856">
        <v>90496</v>
      </c>
      <c r="G856">
        <f>+YEAR(Tabla__192.168.1.8_POSEIDONSQL_APPFVT_01_SQLFacturasRendidas[[#This Row],[f_facturacion]])</f>
        <v>2018</v>
      </c>
      <c r="H85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856">
        <f>+IF(Tabla__192.168.1.8_POSEIDONSQL_APPFVT_01_SQLFacturasRendidas[[#This Row],[epc_nombre]]="RENDIDA",1,0)</f>
        <v>0</v>
      </c>
      <c r="J856">
        <f>+IF(Tabla__192.168.1.8_POSEIDONSQL_APPFVT_01_SQLFacturasRendidas[[#This Row],[usu_codigo]]="","",1)</f>
        <v>1</v>
      </c>
    </row>
    <row r="857" spans="1:10" x14ac:dyDescent="0.25">
      <c r="A857">
        <v>1</v>
      </c>
      <c r="B857">
        <v>3</v>
      </c>
      <c r="C857" t="s">
        <v>81</v>
      </c>
      <c r="D857" t="s">
        <v>15</v>
      </c>
      <c r="E857" t="s">
        <v>39</v>
      </c>
      <c r="F857">
        <v>90497</v>
      </c>
      <c r="G857">
        <f>+YEAR(Tabla__192.168.1.8_POSEIDONSQL_APPFVT_01_SQLFacturasRendidas[[#This Row],[f_facturacion]])</f>
        <v>2018</v>
      </c>
      <c r="H85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857">
        <f>+IF(Tabla__192.168.1.8_POSEIDONSQL_APPFVT_01_SQLFacturasRendidas[[#This Row],[epc_nombre]]="RENDIDA",1,0)</f>
        <v>1</v>
      </c>
      <c r="J857">
        <f>+IF(Tabla__192.168.1.8_POSEIDONSQL_APPFVT_01_SQLFacturasRendidas[[#This Row],[usu_codigo]]="","",1)</f>
        <v>1</v>
      </c>
    </row>
    <row r="858" spans="1:10" x14ac:dyDescent="0.25">
      <c r="A858">
        <v>1</v>
      </c>
      <c r="B858">
        <v>3</v>
      </c>
      <c r="C858" t="s">
        <v>81</v>
      </c>
      <c r="D858" t="s">
        <v>15</v>
      </c>
      <c r="E858" t="s">
        <v>39</v>
      </c>
      <c r="F858">
        <v>90498</v>
      </c>
      <c r="G858">
        <f>+YEAR(Tabla__192.168.1.8_POSEIDONSQL_APPFVT_01_SQLFacturasRendidas[[#This Row],[f_facturacion]])</f>
        <v>2018</v>
      </c>
      <c r="H85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858">
        <f>+IF(Tabla__192.168.1.8_POSEIDONSQL_APPFVT_01_SQLFacturasRendidas[[#This Row],[epc_nombre]]="RENDIDA",1,0)</f>
        <v>1</v>
      </c>
      <c r="J858">
        <f>+IF(Tabla__192.168.1.8_POSEIDONSQL_APPFVT_01_SQLFacturasRendidas[[#This Row],[usu_codigo]]="","",1)</f>
        <v>1</v>
      </c>
    </row>
    <row r="859" spans="1:10" x14ac:dyDescent="0.25">
      <c r="A859">
        <v>1</v>
      </c>
      <c r="B859">
        <v>3</v>
      </c>
      <c r="C859" t="s">
        <v>81</v>
      </c>
      <c r="D859" t="s">
        <v>15</v>
      </c>
      <c r="E859" t="s">
        <v>39</v>
      </c>
      <c r="F859">
        <v>90499</v>
      </c>
      <c r="G859">
        <f>+YEAR(Tabla__192.168.1.8_POSEIDONSQL_APPFVT_01_SQLFacturasRendidas[[#This Row],[f_facturacion]])</f>
        <v>2018</v>
      </c>
      <c r="H85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859">
        <f>+IF(Tabla__192.168.1.8_POSEIDONSQL_APPFVT_01_SQLFacturasRendidas[[#This Row],[epc_nombre]]="RENDIDA",1,0)</f>
        <v>1</v>
      </c>
      <c r="J859">
        <f>+IF(Tabla__192.168.1.8_POSEIDONSQL_APPFVT_01_SQLFacturasRendidas[[#This Row],[usu_codigo]]="","",1)</f>
        <v>1</v>
      </c>
    </row>
    <row r="860" spans="1:10" x14ac:dyDescent="0.25">
      <c r="A860">
        <v>1</v>
      </c>
      <c r="B860">
        <v>3</v>
      </c>
      <c r="C860" t="s">
        <v>81</v>
      </c>
      <c r="D860" t="s">
        <v>15</v>
      </c>
      <c r="E860" t="s">
        <v>39</v>
      </c>
      <c r="F860">
        <v>90500</v>
      </c>
      <c r="G860">
        <f>+YEAR(Tabla__192.168.1.8_POSEIDONSQL_APPFVT_01_SQLFacturasRendidas[[#This Row],[f_facturacion]])</f>
        <v>2018</v>
      </c>
      <c r="H86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860">
        <f>+IF(Tabla__192.168.1.8_POSEIDONSQL_APPFVT_01_SQLFacturasRendidas[[#This Row],[epc_nombre]]="RENDIDA",1,0)</f>
        <v>1</v>
      </c>
      <c r="J860">
        <f>+IF(Tabla__192.168.1.8_POSEIDONSQL_APPFVT_01_SQLFacturasRendidas[[#This Row],[usu_codigo]]="","",1)</f>
        <v>1</v>
      </c>
    </row>
    <row r="861" spans="1:10" x14ac:dyDescent="0.25">
      <c r="A861">
        <v>1</v>
      </c>
      <c r="B861">
        <v>3</v>
      </c>
      <c r="C861" t="s">
        <v>81</v>
      </c>
      <c r="D861" t="s">
        <v>15</v>
      </c>
      <c r="E861" t="s">
        <v>39</v>
      </c>
      <c r="F861">
        <v>90501</v>
      </c>
      <c r="G861">
        <f>+YEAR(Tabla__192.168.1.8_POSEIDONSQL_APPFVT_01_SQLFacturasRendidas[[#This Row],[f_facturacion]])</f>
        <v>2018</v>
      </c>
      <c r="H86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861">
        <f>+IF(Tabla__192.168.1.8_POSEIDONSQL_APPFVT_01_SQLFacturasRendidas[[#This Row],[epc_nombre]]="RENDIDA",1,0)</f>
        <v>1</v>
      </c>
      <c r="J861">
        <f>+IF(Tabla__192.168.1.8_POSEIDONSQL_APPFVT_01_SQLFacturasRendidas[[#This Row],[usu_codigo]]="","",1)</f>
        <v>1</v>
      </c>
    </row>
    <row r="862" spans="1:10" x14ac:dyDescent="0.25">
      <c r="A862">
        <v>1</v>
      </c>
      <c r="B862">
        <v>3</v>
      </c>
      <c r="C862" t="s">
        <v>81</v>
      </c>
      <c r="D862" t="s">
        <v>15</v>
      </c>
      <c r="E862" t="s">
        <v>39</v>
      </c>
      <c r="F862">
        <v>90502</v>
      </c>
      <c r="G862">
        <f>+YEAR(Tabla__192.168.1.8_POSEIDONSQL_APPFVT_01_SQLFacturasRendidas[[#This Row],[f_facturacion]])</f>
        <v>2018</v>
      </c>
      <c r="H86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862">
        <f>+IF(Tabla__192.168.1.8_POSEIDONSQL_APPFVT_01_SQLFacturasRendidas[[#This Row],[epc_nombre]]="RENDIDA",1,0)</f>
        <v>1</v>
      </c>
      <c r="J862">
        <f>+IF(Tabla__192.168.1.8_POSEIDONSQL_APPFVT_01_SQLFacturasRendidas[[#This Row],[usu_codigo]]="","",1)</f>
        <v>1</v>
      </c>
    </row>
    <row r="863" spans="1:10" x14ac:dyDescent="0.25">
      <c r="A863">
        <v>1</v>
      </c>
      <c r="B863">
        <v>3</v>
      </c>
      <c r="C863" t="s">
        <v>81</v>
      </c>
      <c r="D863" t="s">
        <v>15</v>
      </c>
      <c r="E863" t="s">
        <v>39</v>
      </c>
      <c r="F863">
        <v>90503</v>
      </c>
      <c r="G863">
        <f>+YEAR(Tabla__192.168.1.8_POSEIDONSQL_APPFVT_01_SQLFacturasRendidas[[#This Row],[f_facturacion]])</f>
        <v>2018</v>
      </c>
      <c r="H86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863">
        <f>+IF(Tabla__192.168.1.8_POSEIDONSQL_APPFVT_01_SQLFacturasRendidas[[#This Row],[epc_nombre]]="RENDIDA",1,0)</f>
        <v>1</v>
      </c>
      <c r="J863">
        <f>+IF(Tabla__192.168.1.8_POSEIDONSQL_APPFVT_01_SQLFacturasRendidas[[#This Row],[usu_codigo]]="","",1)</f>
        <v>1</v>
      </c>
    </row>
    <row r="864" spans="1:10" x14ac:dyDescent="0.25">
      <c r="A864">
        <v>1</v>
      </c>
      <c r="B864">
        <v>3</v>
      </c>
      <c r="C864" t="s">
        <v>81</v>
      </c>
      <c r="D864" t="s">
        <v>15</v>
      </c>
      <c r="E864" t="s">
        <v>39</v>
      </c>
      <c r="F864">
        <v>90504</v>
      </c>
      <c r="G864">
        <f>+YEAR(Tabla__192.168.1.8_POSEIDONSQL_APPFVT_01_SQLFacturasRendidas[[#This Row],[f_facturacion]])</f>
        <v>2018</v>
      </c>
      <c r="H86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864">
        <f>+IF(Tabla__192.168.1.8_POSEIDONSQL_APPFVT_01_SQLFacturasRendidas[[#This Row],[epc_nombre]]="RENDIDA",1,0)</f>
        <v>1</v>
      </c>
      <c r="J864">
        <f>+IF(Tabla__192.168.1.8_POSEIDONSQL_APPFVT_01_SQLFacturasRendidas[[#This Row],[usu_codigo]]="","",1)</f>
        <v>1</v>
      </c>
    </row>
    <row r="865" spans="1:10" x14ac:dyDescent="0.25">
      <c r="A865">
        <v>1</v>
      </c>
      <c r="B865">
        <v>3</v>
      </c>
      <c r="C865" t="s">
        <v>81</v>
      </c>
      <c r="D865" t="s">
        <v>15</v>
      </c>
      <c r="E865" t="s">
        <v>70</v>
      </c>
      <c r="F865">
        <v>90601</v>
      </c>
      <c r="G865">
        <f>+YEAR(Tabla__192.168.1.8_POSEIDONSQL_APPFVT_01_SQLFacturasRendidas[[#This Row],[f_facturacion]])</f>
        <v>2018</v>
      </c>
      <c r="H86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865">
        <f>+IF(Tabla__192.168.1.8_POSEIDONSQL_APPFVT_01_SQLFacturasRendidas[[#This Row],[epc_nombre]]="RENDIDA",1,0)</f>
        <v>1</v>
      </c>
      <c r="J865">
        <f>+IF(Tabla__192.168.1.8_POSEIDONSQL_APPFVT_01_SQLFacturasRendidas[[#This Row],[usu_codigo]]="","",1)</f>
        <v>1</v>
      </c>
    </row>
    <row r="866" spans="1:10" x14ac:dyDescent="0.25">
      <c r="A866">
        <v>1</v>
      </c>
      <c r="B866">
        <v>3</v>
      </c>
      <c r="C866" t="s">
        <v>81</v>
      </c>
      <c r="D866" t="s">
        <v>15</v>
      </c>
      <c r="E866" t="s">
        <v>40</v>
      </c>
      <c r="F866">
        <v>90606</v>
      </c>
      <c r="G866">
        <f>+YEAR(Tabla__192.168.1.8_POSEIDONSQL_APPFVT_01_SQLFacturasRendidas[[#This Row],[f_facturacion]])</f>
        <v>2018</v>
      </c>
      <c r="H86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866">
        <f>+IF(Tabla__192.168.1.8_POSEIDONSQL_APPFVT_01_SQLFacturasRendidas[[#This Row],[epc_nombre]]="RENDIDA",1,0)</f>
        <v>1</v>
      </c>
      <c r="J866">
        <f>+IF(Tabla__192.168.1.8_POSEIDONSQL_APPFVT_01_SQLFacturasRendidas[[#This Row],[usu_codigo]]="","",1)</f>
        <v>1</v>
      </c>
    </row>
    <row r="867" spans="1:10" x14ac:dyDescent="0.25">
      <c r="A867">
        <v>1</v>
      </c>
      <c r="B867">
        <v>3</v>
      </c>
      <c r="C867" t="s">
        <v>81</v>
      </c>
      <c r="D867" t="s">
        <v>23</v>
      </c>
      <c r="E867" t="s">
        <v>40</v>
      </c>
      <c r="F867">
        <v>90607</v>
      </c>
      <c r="G867">
        <f>+YEAR(Tabla__192.168.1.8_POSEIDONSQL_APPFVT_01_SQLFacturasRendidas[[#This Row],[f_facturacion]])</f>
        <v>2018</v>
      </c>
      <c r="H86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867">
        <f>+IF(Tabla__192.168.1.8_POSEIDONSQL_APPFVT_01_SQLFacturasRendidas[[#This Row],[epc_nombre]]="RENDIDA",1,0)</f>
        <v>0</v>
      </c>
      <c r="J867">
        <f>+IF(Tabla__192.168.1.8_POSEIDONSQL_APPFVT_01_SQLFacturasRendidas[[#This Row],[usu_codigo]]="","",1)</f>
        <v>1</v>
      </c>
    </row>
    <row r="868" spans="1:10" x14ac:dyDescent="0.25">
      <c r="A868">
        <v>1</v>
      </c>
      <c r="B868">
        <v>3</v>
      </c>
      <c r="C868" t="s">
        <v>81</v>
      </c>
      <c r="D868" t="s">
        <v>15</v>
      </c>
      <c r="E868" t="s">
        <v>40</v>
      </c>
      <c r="F868">
        <v>90608</v>
      </c>
      <c r="G868">
        <f>+YEAR(Tabla__192.168.1.8_POSEIDONSQL_APPFVT_01_SQLFacturasRendidas[[#This Row],[f_facturacion]])</f>
        <v>2018</v>
      </c>
      <c r="H86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868">
        <f>+IF(Tabla__192.168.1.8_POSEIDONSQL_APPFVT_01_SQLFacturasRendidas[[#This Row],[epc_nombre]]="RENDIDA",1,0)</f>
        <v>1</v>
      </c>
      <c r="J868">
        <f>+IF(Tabla__192.168.1.8_POSEIDONSQL_APPFVT_01_SQLFacturasRendidas[[#This Row],[usu_codigo]]="","",1)</f>
        <v>1</v>
      </c>
    </row>
    <row r="869" spans="1:10" x14ac:dyDescent="0.25">
      <c r="A869">
        <v>1</v>
      </c>
      <c r="B869">
        <v>3</v>
      </c>
      <c r="C869" t="s">
        <v>81</v>
      </c>
      <c r="D869" t="s">
        <v>15</v>
      </c>
      <c r="E869" t="s">
        <v>40</v>
      </c>
      <c r="F869">
        <v>90609</v>
      </c>
      <c r="G869">
        <f>+YEAR(Tabla__192.168.1.8_POSEIDONSQL_APPFVT_01_SQLFacturasRendidas[[#This Row],[f_facturacion]])</f>
        <v>2018</v>
      </c>
      <c r="H86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869">
        <f>+IF(Tabla__192.168.1.8_POSEIDONSQL_APPFVT_01_SQLFacturasRendidas[[#This Row],[epc_nombre]]="RENDIDA",1,0)</f>
        <v>1</v>
      </c>
      <c r="J869">
        <f>+IF(Tabla__192.168.1.8_POSEIDONSQL_APPFVT_01_SQLFacturasRendidas[[#This Row],[usu_codigo]]="","",1)</f>
        <v>1</v>
      </c>
    </row>
    <row r="870" spans="1:10" x14ac:dyDescent="0.25">
      <c r="A870">
        <v>1</v>
      </c>
      <c r="B870">
        <v>3</v>
      </c>
      <c r="C870" t="s">
        <v>81</v>
      </c>
      <c r="D870" t="s">
        <v>15</v>
      </c>
      <c r="E870" t="s">
        <v>40</v>
      </c>
      <c r="F870">
        <v>90610</v>
      </c>
      <c r="G870">
        <f>+YEAR(Tabla__192.168.1.8_POSEIDONSQL_APPFVT_01_SQLFacturasRendidas[[#This Row],[f_facturacion]])</f>
        <v>2018</v>
      </c>
      <c r="H87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870">
        <f>+IF(Tabla__192.168.1.8_POSEIDONSQL_APPFVT_01_SQLFacturasRendidas[[#This Row],[epc_nombre]]="RENDIDA",1,0)</f>
        <v>1</v>
      </c>
      <c r="J870">
        <f>+IF(Tabla__192.168.1.8_POSEIDONSQL_APPFVT_01_SQLFacturasRendidas[[#This Row],[usu_codigo]]="","",1)</f>
        <v>1</v>
      </c>
    </row>
    <row r="871" spans="1:10" x14ac:dyDescent="0.25">
      <c r="A871">
        <v>1</v>
      </c>
      <c r="B871">
        <v>3</v>
      </c>
      <c r="C871" t="s">
        <v>81</v>
      </c>
      <c r="D871" t="s">
        <v>15</v>
      </c>
      <c r="E871" t="s">
        <v>40</v>
      </c>
      <c r="F871">
        <v>90612</v>
      </c>
      <c r="G871">
        <f>+YEAR(Tabla__192.168.1.8_POSEIDONSQL_APPFVT_01_SQLFacturasRendidas[[#This Row],[f_facturacion]])</f>
        <v>2018</v>
      </c>
      <c r="H87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871">
        <f>+IF(Tabla__192.168.1.8_POSEIDONSQL_APPFVT_01_SQLFacturasRendidas[[#This Row],[epc_nombre]]="RENDIDA",1,0)</f>
        <v>1</v>
      </c>
      <c r="J871">
        <f>+IF(Tabla__192.168.1.8_POSEIDONSQL_APPFVT_01_SQLFacturasRendidas[[#This Row],[usu_codigo]]="","",1)</f>
        <v>1</v>
      </c>
    </row>
    <row r="872" spans="1:10" x14ac:dyDescent="0.25">
      <c r="A872">
        <v>1</v>
      </c>
      <c r="B872">
        <v>3</v>
      </c>
      <c r="C872" t="s">
        <v>81</v>
      </c>
      <c r="D872" t="s">
        <v>15</v>
      </c>
      <c r="E872" t="s">
        <v>40</v>
      </c>
      <c r="F872">
        <v>90613</v>
      </c>
      <c r="G872">
        <f>+YEAR(Tabla__192.168.1.8_POSEIDONSQL_APPFVT_01_SQLFacturasRendidas[[#This Row],[f_facturacion]])</f>
        <v>2018</v>
      </c>
      <c r="H87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872">
        <f>+IF(Tabla__192.168.1.8_POSEIDONSQL_APPFVT_01_SQLFacturasRendidas[[#This Row],[epc_nombre]]="RENDIDA",1,0)</f>
        <v>1</v>
      </c>
      <c r="J872">
        <f>+IF(Tabla__192.168.1.8_POSEIDONSQL_APPFVT_01_SQLFacturasRendidas[[#This Row],[usu_codigo]]="","",1)</f>
        <v>1</v>
      </c>
    </row>
    <row r="873" spans="1:10" x14ac:dyDescent="0.25">
      <c r="A873">
        <v>1</v>
      </c>
      <c r="B873">
        <v>3</v>
      </c>
      <c r="C873" t="s">
        <v>81</v>
      </c>
      <c r="D873" t="s">
        <v>15</v>
      </c>
      <c r="E873" t="s">
        <v>40</v>
      </c>
      <c r="F873">
        <v>90614</v>
      </c>
      <c r="G873">
        <f>+YEAR(Tabla__192.168.1.8_POSEIDONSQL_APPFVT_01_SQLFacturasRendidas[[#This Row],[f_facturacion]])</f>
        <v>2018</v>
      </c>
      <c r="H87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873">
        <f>+IF(Tabla__192.168.1.8_POSEIDONSQL_APPFVT_01_SQLFacturasRendidas[[#This Row],[epc_nombre]]="RENDIDA",1,0)</f>
        <v>1</v>
      </c>
      <c r="J873">
        <f>+IF(Tabla__192.168.1.8_POSEIDONSQL_APPFVT_01_SQLFacturasRendidas[[#This Row],[usu_codigo]]="","",1)</f>
        <v>1</v>
      </c>
    </row>
    <row r="874" spans="1:10" x14ac:dyDescent="0.25">
      <c r="A874">
        <v>1</v>
      </c>
      <c r="B874">
        <v>3</v>
      </c>
      <c r="C874" t="s">
        <v>81</v>
      </c>
      <c r="D874" t="s">
        <v>15</v>
      </c>
      <c r="E874" t="s">
        <v>40</v>
      </c>
      <c r="F874">
        <v>90615</v>
      </c>
      <c r="G874">
        <f>+YEAR(Tabla__192.168.1.8_POSEIDONSQL_APPFVT_01_SQLFacturasRendidas[[#This Row],[f_facturacion]])</f>
        <v>2018</v>
      </c>
      <c r="H87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874">
        <f>+IF(Tabla__192.168.1.8_POSEIDONSQL_APPFVT_01_SQLFacturasRendidas[[#This Row],[epc_nombre]]="RENDIDA",1,0)</f>
        <v>1</v>
      </c>
      <c r="J874">
        <f>+IF(Tabla__192.168.1.8_POSEIDONSQL_APPFVT_01_SQLFacturasRendidas[[#This Row],[usu_codigo]]="","",1)</f>
        <v>1</v>
      </c>
    </row>
    <row r="875" spans="1:10" x14ac:dyDescent="0.25">
      <c r="A875">
        <v>1</v>
      </c>
      <c r="B875">
        <v>3</v>
      </c>
      <c r="C875" t="s">
        <v>11</v>
      </c>
      <c r="D875" t="s">
        <v>15</v>
      </c>
      <c r="E875" t="s">
        <v>54</v>
      </c>
      <c r="F875">
        <v>3866</v>
      </c>
      <c r="G875">
        <f>+YEAR(Tabla__192.168.1.8_POSEIDONSQL_APPFVT_01_SQLFacturasRendidas[[#This Row],[f_facturacion]])</f>
        <v>2018</v>
      </c>
      <c r="H87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875">
        <f>+IF(Tabla__192.168.1.8_POSEIDONSQL_APPFVT_01_SQLFacturasRendidas[[#This Row],[epc_nombre]]="RENDIDA",1,0)</f>
        <v>1</v>
      </c>
      <c r="J875">
        <f>+IF(Tabla__192.168.1.8_POSEIDONSQL_APPFVT_01_SQLFacturasRendidas[[#This Row],[usu_codigo]]="","",1)</f>
        <v>1</v>
      </c>
    </row>
    <row r="876" spans="1:10" x14ac:dyDescent="0.25">
      <c r="A876">
        <v>1</v>
      </c>
      <c r="B876">
        <v>3</v>
      </c>
      <c r="C876" t="s">
        <v>11</v>
      </c>
      <c r="D876" t="s">
        <v>15</v>
      </c>
      <c r="E876" t="s">
        <v>54</v>
      </c>
      <c r="F876">
        <v>3867</v>
      </c>
      <c r="G876">
        <f>+YEAR(Tabla__192.168.1.8_POSEIDONSQL_APPFVT_01_SQLFacturasRendidas[[#This Row],[f_facturacion]])</f>
        <v>2018</v>
      </c>
      <c r="H87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876">
        <f>+IF(Tabla__192.168.1.8_POSEIDONSQL_APPFVT_01_SQLFacturasRendidas[[#This Row],[epc_nombre]]="RENDIDA",1,0)</f>
        <v>1</v>
      </c>
      <c r="J876">
        <f>+IF(Tabla__192.168.1.8_POSEIDONSQL_APPFVT_01_SQLFacturasRendidas[[#This Row],[usu_codigo]]="","",1)</f>
        <v>1</v>
      </c>
    </row>
    <row r="877" spans="1:10" x14ac:dyDescent="0.25">
      <c r="A877">
        <v>1</v>
      </c>
      <c r="B877">
        <v>3</v>
      </c>
      <c r="C877" t="s">
        <v>11</v>
      </c>
      <c r="D877" t="s">
        <v>15</v>
      </c>
      <c r="E877" t="s">
        <v>69</v>
      </c>
      <c r="F877">
        <v>3897</v>
      </c>
      <c r="G877">
        <f>+YEAR(Tabla__192.168.1.8_POSEIDONSQL_APPFVT_01_SQLFacturasRendidas[[#This Row],[f_facturacion]])</f>
        <v>2018</v>
      </c>
      <c r="H87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877">
        <f>+IF(Tabla__192.168.1.8_POSEIDONSQL_APPFVT_01_SQLFacturasRendidas[[#This Row],[epc_nombre]]="RENDIDA",1,0)</f>
        <v>1</v>
      </c>
      <c r="J877">
        <f>+IF(Tabla__192.168.1.8_POSEIDONSQL_APPFVT_01_SQLFacturasRendidas[[#This Row],[usu_codigo]]="","",1)</f>
        <v>1</v>
      </c>
    </row>
    <row r="878" spans="1:10" x14ac:dyDescent="0.25">
      <c r="A878">
        <v>1</v>
      </c>
      <c r="B878">
        <v>3</v>
      </c>
      <c r="C878" t="s">
        <v>11</v>
      </c>
      <c r="D878" t="s">
        <v>15</v>
      </c>
      <c r="E878" t="s">
        <v>69</v>
      </c>
      <c r="F878">
        <v>3898</v>
      </c>
      <c r="G878">
        <f>+YEAR(Tabla__192.168.1.8_POSEIDONSQL_APPFVT_01_SQLFacturasRendidas[[#This Row],[f_facturacion]])</f>
        <v>2018</v>
      </c>
      <c r="H87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878">
        <f>+IF(Tabla__192.168.1.8_POSEIDONSQL_APPFVT_01_SQLFacturasRendidas[[#This Row],[epc_nombre]]="RENDIDA",1,0)</f>
        <v>1</v>
      </c>
      <c r="J878">
        <f>+IF(Tabla__192.168.1.8_POSEIDONSQL_APPFVT_01_SQLFacturasRendidas[[#This Row],[usu_codigo]]="","",1)</f>
        <v>1</v>
      </c>
    </row>
    <row r="879" spans="1:10" x14ac:dyDescent="0.25">
      <c r="A879">
        <v>1</v>
      </c>
      <c r="B879">
        <v>3</v>
      </c>
      <c r="C879" t="s">
        <v>11</v>
      </c>
      <c r="D879" t="s">
        <v>15</v>
      </c>
      <c r="E879" t="s">
        <v>69</v>
      </c>
      <c r="F879">
        <v>3899</v>
      </c>
      <c r="G879">
        <f>+YEAR(Tabla__192.168.1.8_POSEIDONSQL_APPFVT_01_SQLFacturasRendidas[[#This Row],[f_facturacion]])</f>
        <v>2018</v>
      </c>
      <c r="H87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879">
        <f>+IF(Tabla__192.168.1.8_POSEIDONSQL_APPFVT_01_SQLFacturasRendidas[[#This Row],[epc_nombre]]="RENDIDA",1,0)</f>
        <v>1</v>
      </c>
      <c r="J879">
        <f>+IF(Tabla__192.168.1.8_POSEIDONSQL_APPFVT_01_SQLFacturasRendidas[[#This Row],[usu_codigo]]="","",1)</f>
        <v>1</v>
      </c>
    </row>
    <row r="880" spans="1:10" x14ac:dyDescent="0.25">
      <c r="A880">
        <v>1</v>
      </c>
      <c r="B880">
        <v>3</v>
      </c>
      <c r="C880" t="s">
        <v>11</v>
      </c>
      <c r="D880" t="s">
        <v>15</v>
      </c>
      <c r="E880" t="s">
        <v>69</v>
      </c>
      <c r="F880">
        <v>3900</v>
      </c>
      <c r="G880">
        <f>+YEAR(Tabla__192.168.1.8_POSEIDONSQL_APPFVT_01_SQLFacturasRendidas[[#This Row],[f_facturacion]])</f>
        <v>2018</v>
      </c>
      <c r="H88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880">
        <f>+IF(Tabla__192.168.1.8_POSEIDONSQL_APPFVT_01_SQLFacturasRendidas[[#This Row],[epc_nombre]]="RENDIDA",1,0)</f>
        <v>1</v>
      </c>
      <c r="J880">
        <f>+IF(Tabla__192.168.1.8_POSEIDONSQL_APPFVT_01_SQLFacturasRendidas[[#This Row],[usu_codigo]]="","",1)</f>
        <v>1</v>
      </c>
    </row>
    <row r="881" spans="1:10" x14ac:dyDescent="0.25">
      <c r="A881">
        <v>1</v>
      </c>
      <c r="B881">
        <v>3</v>
      </c>
      <c r="C881" t="s">
        <v>11</v>
      </c>
      <c r="D881" t="s">
        <v>15</v>
      </c>
      <c r="E881" t="s">
        <v>69</v>
      </c>
      <c r="F881">
        <v>3901</v>
      </c>
      <c r="G881">
        <f>+YEAR(Tabla__192.168.1.8_POSEIDONSQL_APPFVT_01_SQLFacturasRendidas[[#This Row],[f_facturacion]])</f>
        <v>2018</v>
      </c>
      <c r="H88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881">
        <f>+IF(Tabla__192.168.1.8_POSEIDONSQL_APPFVT_01_SQLFacturasRendidas[[#This Row],[epc_nombre]]="RENDIDA",1,0)</f>
        <v>1</v>
      </c>
      <c r="J881">
        <f>+IF(Tabla__192.168.1.8_POSEIDONSQL_APPFVT_01_SQLFacturasRendidas[[#This Row],[usu_codigo]]="","",1)</f>
        <v>1</v>
      </c>
    </row>
    <row r="882" spans="1:10" x14ac:dyDescent="0.25">
      <c r="A882">
        <v>1</v>
      </c>
      <c r="B882">
        <v>3</v>
      </c>
      <c r="C882" t="s">
        <v>11</v>
      </c>
      <c r="D882" t="s">
        <v>15</v>
      </c>
      <c r="E882" t="s">
        <v>69</v>
      </c>
      <c r="F882">
        <v>3902</v>
      </c>
      <c r="G882">
        <f>+YEAR(Tabla__192.168.1.8_POSEIDONSQL_APPFVT_01_SQLFacturasRendidas[[#This Row],[f_facturacion]])</f>
        <v>2018</v>
      </c>
      <c r="H88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882">
        <f>+IF(Tabla__192.168.1.8_POSEIDONSQL_APPFVT_01_SQLFacturasRendidas[[#This Row],[epc_nombre]]="RENDIDA",1,0)</f>
        <v>1</v>
      </c>
      <c r="J882">
        <f>+IF(Tabla__192.168.1.8_POSEIDONSQL_APPFVT_01_SQLFacturasRendidas[[#This Row],[usu_codigo]]="","",1)</f>
        <v>1</v>
      </c>
    </row>
    <row r="883" spans="1:10" x14ac:dyDescent="0.25">
      <c r="A883">
        <v>1</v>
      </c>
      <c r="B883">
        <v>3</v>
      </c>
      <c r="C883" t="s">
        <v>11</v>
      </c>
      <c r="D883" t="s">
        <v>15</v>
      </c>
      <c r="E883" t="s">
        <v>69</v>
      </c>
      <c r="F883">
        <v>3903</v>
      </c>
      <c r="G883">
        <f>+YEAR(Tabla__192.168.1.8_POSEIDONSQL_APPFVT_01_SQLFacturasRendidas[[#This Row],[f_facturacion]])</f>
        <v>2018</v>
      </c>
      <c r="H88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883">
        <f>+IF(Tabla__192.168.1.8_POSEIDONSQL_APPFVT_01_SQLFacturasRendidas[[#This Row],[epc_nombre]]="RENDIDA",1,0)</f>
        <v>1</v>
      </c>
      <c r="J883">
        <f>+IF(Tabla__192.168.1.8_POSEIDONSQL_APPFVT_01_SQLFacturasRendidas[[#This Row],[usu_codigo]]="","",1)</f>
        <v>1</v>
      </c>
    </row>
    <row r="884" spans="1:10" x14ac:dyDescent="0.25">
      <c r="A884">
        <v>1</v>
      </c>
      <c r="B884">
        <v>3</v>
      </c>
      <c r="C884" t="s">
        <v>11</v>
      </c>
      <c r="D884" t="s">
        <v>15</v>
      </c>
      <c r="E884" t="s">
        <v>69</v>
      </c>
      <c r="F884">
        <v>3904</v>
      </c>
      <c r="G884">
        <f>+YEAR(Tabla__192.168.1.8_POSEIDONSQL_APPFVT_01_SQLFacturasRendidas[[#This Row],[f_facturacion]])</f>
        <v>2018</v>
      </c>
      <c r="H88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884">
        <f>+IF(Tabla__192.168.1.8_POSEIDONSQL_APPFVT_01_SQLFacturasRendidas[[#This Row],[epc_nombre]]="RENDIDA",1,0)</f>
        <v>1</v>
      </c>
      <c r="J884">
        <f>+IF(Tabla__192.168.1.8_POSEIDONSQL_APPFVT_01_SQLFacturasRendidas[[#This Row],[usu_codigo]]="","",1)</f>
        <v>1</v>
      </c>
    </row>
    <row r="885" spans="1:10" x14ac:dyDescent="0.25">
      <c r="A885">
        <v>1</v>
      </c>
      <c r="B885">
        <v>3</v>
      </c>
      <c r="C885" t="s">
        <v>11</v>
      </c>
      <c r="D885" t="s">
        <v>15</v>
      </c>
      <c r="E885" t="s">
        <v>69</v>
      </c>
      <c r="F885">
        <v>3905</v>
      </c>
      <c r="G885">
        <f>+YEAR(Tabla__192.168.1.8_POSEIDONSQL_APPFVT_01_SQLFacturasRendidas[[#This Row],[f_facturacion]])</f>
        <v>2018</v>
      </c>
      <c r="H88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885">
        <f>+IF(Tabla__192.168.1.8_POSEIDONSQL_APPFVT_01_SQLFacturasRendidas[[#This Row],[epc_nombre]]="RENDIDA",1,0)</f>
        <v>1</v>
      </c>
      <c r="J885">
        <f>+IF(Tabla__192.168.1.8_POSEIDONSQL_APPFVT_01_SQLFacturasRendidas[[#This Row],[usu_codigo]]="","",1)</f>
        <v>1</v>
      </c>
    </row>
    <row r="886" spans="1:10" x14ac:dyDescent="0.25">
      <c r="A886">
        <v>1</v>
      </c>
      <c r="B886">
        <v>3</v>
      </c>
      <c r="C886" t="s">
        <v>11</v>
      </c>
      <c r="D886" t="s">
        <v>15</v>
      </c>
      <c r="E886" t="s">
        <v>69</v>
      </c>
      <c r="F886">
        <v>3906</v>
      </c>
      <c r="G886">
        <f>+YEAR(Tabla__192.168.1.8_POSEIDONSQL_APPFVT_01_SQLFacturasRendidas[[#This Row],[f_facturacion]])</f>
        <v>2018</v>
      </c>
      <c r="H88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886">
        <f>+IF(Tabla__192.168.1.8_POSEIDONSQL_APPFVT_01_SQLFacturasRendidas[[#This Row],[epc_nombre]]="RENDIDA",1,0)</f>
        <v>1</v>
      </c>
      <c r="J886">
        <f>+IF(Tabla__192.168.1.8_POSEIDONSQL_APPFVT_01_SQLFacturasRendidas[[#This Row],[usu_codigo]]="","",1)</f>
        <v>1</v>
      </c>
    </row>
    <row r="887" spans="1:10" x14ac:dyDescent="0.25">
      <c r="A887">
        <v>1</v>
      </c>
      <c r="B887">
        <v>3</v>
      </c>
      <c r="C887" t="s">
        <v>11</v>
      </c>
      <c r="D887" t="s">
        <v>15</v>
      </c>
      <c r="E887" t="s">
        <v>69</v>
      </c>
      <c r="F887">
        <v>3907</v>
      </c>
      <c r="G887">
        <f>+YEAR(Tabla__192.168.1.8_POSEIDONSQL_APPFVT_01_SQLFacturasRendidas[[#This Row],[f_facturacion]])</f>
        <v>2018</v>
      </c>
      <c r="H88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887">
        <f>+IF(Tabla__192.168.1.8_POSEIDONSQL_APPFVT_01_SQLFacturasRendidas[[#This Row],[epc_nombre]]="RENDIDA",1,0)</f>
        <v>1</v>
      </c>
      <c r="J887">
        <f>+IF(Tabla__192.168.1.8_POSEIDONSQL_APPFVT_01_SQLFacturasRendidas[[#This Row],[usu_codigo]]="","",1)</f>
        <v>1</v>
      </c>
    </row>
    <row r="888" spans="1:10" x14ac:dyDescent="0.25">
      <c r="A888">
        <v>1</v>
      </c>
      <c r="B888">
        <v>3</v>
      </c>
      <c r="C888" t="s">
        <v>11</v>
      </c>
      <c r="D888" t="s">
        <v>15</v>
      </c>
      <c r="E888" t="s">
        <v>69</v>
      </c>
      <c r="F888">
        <v>3908</v>
      </c>
      <c r="G888">
        <f>+YEAR(Tabla__192.168.1.8_POSEIDONSQL_APPFVT_01_SQLFacturasRendidas[[#This Row],[f_facturacion]])</f>
        <v>2018</v>
      </c>
      <c r="H88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888">
        <f>+IF(Tabla__192.168.1.8_POSEIDONSQL_APPFVT_01_SQLFacturasRendidas[[#This Row],[epc_nombre]]="RENDIDA",1,0)</f>
        <v>1</v>
      </c>
      <c r="J888">
        <f>+IF(Tabla__192.168.1.8_POSEIDONSQL_APPFVT_01_SQLFacturasRendidas[[#This Row],[usu_codigo]]="","",1)</f>
        <v>1</v>
      </c>
    </row>
    <row r="889" spans="1:10" x14ac:dyDescent="0.25">
      <c r="A889">
        <v>1</v>
      </c>
      <c r="B889">
        <v>3</v>
      </c>
      <c r="C889" t="s">
        <v>11</v>
      </c>
      <c r="D889" t="s">
        <v>15</v>
      </c>
      <c r="E889" t="s">
        <v>69</v>
      </c>
      <c r="F889">
        <v>3909</v>
      </c>
      <c r="G889">
        <f>+YEAR(Tabla__192.168.1.8_POSEIDONSQL_APPFVT_01_SQLFacturasRendidas[[#This Row],[f_facturacion]])</f>
        <v>2018</v>
      </c>
      <c r="H88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889">
        <f>+IF(Tabla__192.168.1.8_POSEIDONSQL_APPFVT_01_SQLFacturasRendidas[[#This Row],[epc_nombre]]="RENDIDA",1,0)</f>
        <v>1</v>
      </c>
      <c r="J889">
        <f>+IF(Tabla__192.168.1.8_POSEIDONSQL_APPFVT_01_SQLFacturasRendidas[[#This Row],[usu_codigo]]="","",1)</f>
        <v>1</v>
      </c>
    </row>
    <row r="890" spans="1:10" x14ac:dyDescent="0.25">
      <c r="A890">
        <v>1</v>
      </c>
      <c r="B890">
        <v>3</v>
      </c>
      <c r="C890" t="s">
        <v>11</v>
      </c>
      <c r="D890" t="s">
        <v>15</v>
      </c>
      <c r="E890" t="s">
        <v>69</v>
      </c>
      <c r="F890">
        <v>3910</v>
      </c>
      <c r="G890">
        <f>+YEAR(Tabla__192.168.1.8_POSEIDONSQL_APPFVT_01_SQLFacturasRendidas[[#This Row],[f_facturacion]])</f>
        <v>2018</v>
      </c>
      <c r="H89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890">
        <f>+IF(Tabla__192.168.1.8_POSEIDONSQL_APPFVT_01_SQLFacturasRendidas[[#This Row],[epc_nombre]]="RENDIDA",1,0)</f>
        <v>1</v>
      </c>
      <c r="J890">
        <f>+IF(Tabla__192.168.1.8_POSEIDONSQL_APPFVT_01_SQLFacturasRendidas[[#This Row],[usu_codigo]]="","",1)</f>
        <v>1</v>
      </c>
    </row>
    <row r="891" spans="1:10" x14ac:dyDescent="0.25">
      <c r="A891">
        <v>1</v>
      </c>
      <c r="B891">
        <v>3</v>
      </c>
      <c r="C891" t="s">
        <v>11</v>
      </c>
      <c r="D891" t="s">
        <v>15</v>
      </c>
      <c r="E891" t="s">
        <v>69</v>
      </c>
      <c r="F891">
        <v>3911</v>
      </c>
      <c r="G891">
        <f>+YEAR(Tabla__192.168.1.8_POSEIDONSQL_APPFVT_01_SQLFacturasRendidas[[#This Row],[f_facturacion]])</f>
        <v>2018</v>
      </c>
      <c r="H89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891">
        <f>+IF(Tabla__192.168.1.8_POSEIDONSQL_APPFVT_01_SQLFacturasRendidas[[#This Row],[epc_nombre]]="RENDIDA",1,0)</f>
        <v>1</v>
      </c>
      <c r="J891">
        <f>+IF(Tabla__192.168.1.8_POSEIDONSQL_APPFVT_01_SQLFacturasRendidas[[#This Row],[usu_codigo]]="","",1)</f>
        <v>1</v>
      </c>
    </row>
    <row r="892" spans="1:10" x14ac:dyDescent="0.25">
      <c r="A892">
        <v>1</v>
      </c>
      <c r="B892">
        <v>3</v>
      </c>
      <c r="C892" t="s">
        <v>11</v>
      </c>
      <c r="D892" t="s">
        <v>15</v>
      </c>
      <c r="E892" t="s">
        <v>69</v>
      </c>
      <c r="F892">
        <v>3912</v>
      </c>
      <c r="G892">
        <f>+YEAR(Tabla__192.168.1.8_POSEIDONSQL_APPFVT_01_SQLFacturasRendidas[[#This Row],[f_facturacion]])</f>
        <v>2018</v>
      </c>
      <c r="H89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892">
        <f>+IF(Tabla__192.168.1.8_POSEIDONSQL_APPFVT_01_SQLFacturasRendidas[[#This Row],[epc_nombre]]="RENDIDA",1,0)</f>
        <v>1</v>
      </c>
      <c r="J892">
        <f>+IF(Tabla__192.168.1.8_POSEIDONSQL_APPFVT_01_SQLFacturasRendidas[[#This Row],[usu_codigo]]="","",1)</f>
        <v>1</v>
      </c>
    </row>
    <row r="893" spans="1:10" x14ac:dyDescent="0.25">
      <c r="A893">
        <v>1</v>
      </c>
      <c r="B893">
        <v>3</v>
      </c>
      <c r="C893" t="s">
        <v>11</v>
      </c>
      <c r="D893" t="s">
        <v>15</v>
      </c>
      <c r="E893" t="s">
        <v>32</v>
      </c>
      <c r="F893">
        <v>3914</v>
      </c>
      <c r="G893">
        <f>+YEAR(Tabla__192.168.1.8_POSEIDONSQL_APPFVT_01_SQLFacturasRendidas[[#This Row],[f_facturacion]])</f>
        <v>2018</v>
      </c>
      <c r="H89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893">
        <f>+IF(Tabla__192.168.1.8_POSEIDONSQL_APPFVT_01_SQLFacturasRendidas[[#This Row],[epc_nombre]]="RENDIDA",1,0)</f>
        <v>1</v>
      </c>
      <c r="J893">
        <f>+IF(Tabla__192.168.1.8_POSEIDONSQL_APPFVT_01_SQLFacturasRendidas[[#This Row],[usu_codigo]]="","",1)</f>
        <v>1</v>
      </c>
    </row>
    <row r="894" spans="1:10" x14ac:dyDescent="0.25">
      <c r="A894">
        <v>1</v>
      </c>
      <c r="B894">
        <v>3</v>
      </c>
      <c r="C894" t="s">
        <v>11</v>
      </c>
      <c r="D894" t="s">
        <v>15</v>
      </c>
      <c r="E894" t="s">
        <v>32</v>
      </c>
      <c r="F894">
        <v>3915</v>
      </c>
      <c r="G894">
        <f>+YEAR(Tabla__192.168.1.8_POSEIDONSQL_APPFVT_01_SQLFacturasRendidas[[#This Row],[f_facturacion]])</f>
        <v>2018</v>
      </c>
      <c r="H89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894">
        <f>+IF(Tabla__192.168.1.8_POSEIDONSQL_APPFVT_01_SQLFacturasRendidas[[#This Row],[epc_nombre]]="RENDIDA",1,0)</f>
        <v>1</v>
      </c>
      <c r="J894">
        <f>+IF(Tabla__192.168.1.8_POSEIDONSQL_APPFVT_01_SQLFacturasRendidas[[#This Row],[usu_codigo]]="","",1)</f>
        <v>1</v>
      </c>
    </row>
    <row r="895" spans="1:10" x14ac:dyDescent="0.25">
      <c r="A895">
        <v>1</v>
      </c>
      <c r="B895">
        <v>3</v>
      </c>
      <c r="C895" t="s">
        <v>11</v>
      </c>
      <c r="D895" t="s">
        <v>15</v>
      </c>
      <c r="E895" t="s">
        <v>32</v>
      </c>
      <c r="F895">
        <v>3916</v>
      </c>
      <c r="G895">
        <f>+YEAR(Tabla__192.168.1.8_POSEIDONSQL_APPFVT_01_SQLFacturasRendidas[[#This Row],[f_facturacion]])</f>
        <v>2018</v>
      </c>
      <c r="H89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895">
        <f>+IF(Tabla__192.168.1.8_POSEIDONSQL_APPFVT_01_SQLFacturasRendidas[[#This Row],[epc_nombre]]="RENDIDA",1,0)</f>
        <v>1</v>
      </c>
      <c r="J895">
        <f>+IF(Tabla__192.168.1.8_POSEIDONSQL_APPFVT_01_SQLFacturasRendidas[[#This Row],[usu_codigo]]="","",1)</f>
        <v>1</v>
      </c>
    </row>
    <row r="896" spans="1:10" x14ac:dyDescent="0.25">
      <c r="A896">
        <v>1</v>
      </c>
      <c r="B896">
        <v>3</v>
      </c>
      <c r="C896" t="s">
        <v>11</v>
      </c>
      <c r="D896" t="s">
        <v>15</v>
      </c>
      <c r="E896" t="s">
        <v>32</v>
      </c>
      <c r="F896">
        <v>3917</v>
      </c>
      <c r="G896">
        <f>+YEAR(Tabla__192.168.1.8_POSEIDONSQL_APPFVT_01_SQLFacturasRendidas[[#This Row],[f_facturacion]])</f>
        <v>2018</v>
      </c>
      <c r="H89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896">
        <f>+IF(Tabla__192.168.1.8_POSEIDONSQL_APPFVT_01_SQLFacturasRendidas[[#This Row],[epc_nombre]]="RENDIDA",1,0)</f>
        <v>1</v>
      </c>
      <c r="J896">
        <f>+IF(Tabla__192.168.1.8_POSEIDONSQL_APPFVT_01_SQLFacturasRendidas[[#This Row],[usu_codigo]]="","",1)</f>
        <v>1</v>
      </c>
    </row>
    <row r="897" spans="1:10" x14ac:dyDescent="0.25">
      <c r="A897">
        <v>1</v>
      </c>
      <c r="B897">
        <v>3</v>
      </c>
      <c r="C897" t="s">
        <v>11</v>
      </c>
      <c r="D897" t="s">
        <v>15</v>
      </c>
      <c r="E897" t="s">
        <v>32</v>
      </c>
      <c r="F897">
        <v>3918</v>
      </c>
      <c r="G897">
        <f>+YEAR(Tabla__192.168.1.8_POSEIDONSQL_APPFVT_01_SQLFacturasRendidas[[#This Row],[f_facturacion]])</f>
        <v>2018</v>
      </c>
      <c r="H89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897">
        <f>+IF(Tabla__192.168.1.8_POSEIDONSQL_APPFVT_01_SQLFacturasRendidas[[#This Row],[epc_nombre]]="RENDIDA",1,0)</f>
        <v>1</v>
      </c>
      <c r="J897">
        <f>+IF(Tabla__192.168.1.8_POSEIDONSQL_APPFVT_01_SQLFacturasRendidas[[#This Row],[usu_codigo]]="","",1)</f>
        <v>1</v>
      </c>
    </row>
    <row r="898" spans="1:10" x14ac:dyDescent="0.25">
      <c r="A898">
        <v>1</v>
      </c>
      <c r="B898">
        <v>3</v>
      </c>
      <c r="C898" t="s">
        <v>11</v>
      </c>
      <c r="D898" t="s">
        <v>15</v>
      </c>
      <c r="E898" t="s">
        <v>32</v>
      </c>
      <c r="F898">
        <v>3919</v>
      </c>
      <c r="G898">
        <f>+YEAR(Tabla__192.168.1.8_POSEIDONSQL_APPFVT_01_SQLFacturasRendidas[[#This Row],[f_facturacion]])</f>
        <v>2018</v>
      </c>
      <c r="H89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898">
        <f>+IF(Tabla__192.168.1.8_POSEIDONSQL_APPFVT_01_SQLFacturasRendidas[[#This Row],[epc_nombre]]="RENDIDA",1,0)</f>
        <v>1</v>
      </c>
      <c r="J898">
        <f>+IF(Tabla__192.168.1.8_POSEIDONSQL_APPFVT_01_SQLFacturasRendidas[[#This Row],[usu_codigo]]="","",1)</f>
        <v>1</v>
      </c>
    </row>
    <row r="899" spans="1:10" x14ac:dyDescent="0.25">
      <c r="A899">
        <v>1</v>
      </c>
      <c r="B899">
        <v>3</v>
      </c>
      <c r="C899" t="s">
        <v>11</v>
      </c>
      <c r="D899" t="s">
        <v>15</v>
      </c>
      <c r="E899" t="s">
        <v>32</v>
      </c>
      <c r="F899">
        <v>3920</v>
      </c>
      <c r="G899">
        <f>+YEAR(Tabla__192.168.1.8_POSEIDONSQL_APPFVT_01_SQLFacturasRendidas[[#This Row],[f_facturacion]])</f>
        <v>2018</v>
      </c>
      <c r="H89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899">
        <f>+IF(Tabla__192.168.1.8_POSEIDONSQL_APPFVT_01_SQLFacturasRendidas[[#This Row],[epc_nombre]]="RENDIDA",1,0)</f>
        <v>1</v>
      </c>
      <c r="J899">
        <f>+IF(Tabla__192.168.1.8_POSEIDONSQL_APPFVT_01_SQLFacturasRendidas[[#This Row],[usu_codigo]]="","",1)</f>
        <v>1</v>
      </c>
    </row>
    <row r="900" spans="1:10" x14ac:dyDescent="0.25">
      <c r="A900">
        <v>1</v>
      </c>
      <c r="B900">
        <v>3</v>
      </c>
      <c r="C900" t="s">
        <v>11</v>
      </c>
      <c r="D900" t="s">
        <v>15</v>
      </c>
      <c r="E900" t="s">
        <v>32</v>
      </c>
      <c r="F900">
        <v>3921</v>
      </c>
      <c r="G900">
        <f>+YEAR(Tabla__192.168.1.8_POSEIDONSQL_APPFVT_01_SQLFacturasRendidas[[#This Row],[f_facturacion]])</f>
        <v>2018</v>
      </c>
      <c r="H90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900">
        <f>+IF(Tabla__192.168.1.8_POSEIDONSQL_APPFVT_01_SQLFacturasRendidas[[#This Row],[epc_nombre]]="RENDIDA",1,0)</f>
        <v>1</v>
      </c>
      <c r="J900">
        <f>+IF(Tabla__192.168.1.8_POSEIDONSQL_APPFVT_01_SQLFacturasRendidas[[#This Row],[usu_codigo]]="","",1)</f>
        <v>1</v>
      </c>
    </row>
    <row r="901" spans="1:10" x14ac:dyDescent="0.25">
      <c r="A901">
        <v>1</v>
      </c>
      <c r="B901">
        <v>3</v>
      </c>
      <c r="C901" t="s">
        <v>11</v>
      </c>
      <c r="D901" t="s">
        <v>15</v>
      </c>
      <c r="E901" t="s">
        <v>32</v>
      </c>
      <c r="F901">
        <v>3922</v>
      </c>
      <c r="G901">
        <f>+YEAR(Tabla__192.168.1.8_POSEIDONSQL_APPFVT_01_SQLFacturasRendidas[[#This Row],[f_facturacion]])</f>
        <v>2018</v>
      </c>
      <c r="H90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901">
        <f>+IF(Tabla__192.168.1.8_POSEIDONSQL_APPFVT_01_SQLFacturasRendidas[[#This Row],[epc_nombre]]="RENDIDA",1,0)</f>
        <v>1</v>
      </c>
      <c r="J901">
        <f>+IF(Tabla__192.168.1.8_POSEIDONSQL_APPFVT_01_SQLFacturasRendidas[[#This Row],[usu_codigo]]="","",1)</f>
        <v>1</v>
      </c>
    </row>
    <row r="902" spans="1:10" x14ac:dyDescent="0.25">
      <c r="A902">
        <v>1</v>
      </c>
      <c r="B902">
        <v>3</v>
      </c>
      <c r="C902" t="s">
        <v>11</v>
      </c>
      <c r="D902" t="s">
        <v>15</v>
      </c>
      <c r="E902" t="s">
        <v>32</v>
      </c>
      <c r="F902">
        <v>3923</v>
      </c>
      <c r="G902">
        <f>+YEAR(Tabla__192.168.1.8_POSEIDONSQL_APPFVT_01_SQLFacturasRendidas[[#This Row],[f_facturacion]])</f>
        <v>2018</v>
      </c>
      <c r="H90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902">
        <f>+IF(Tabla__192.168.1.8_POSEIDONSQL_APPFVT_01_SQLFacturasRendidas[[#This Row],[epc_nombre]]="RENDIDA",1,0)</f>
        <v>1</v>
      </c>
      <c r="J902">
        <f>+IF(Tabla__192.168.1.8_POSEIDONSQL_APPFVT_01_SQLFacturasRendidas[[#This Row],[usu_codigo]]="","",1)</f>
        <v>1</v>
      </c>
    </row>
    <row r="903" spans="1:10" x14ac:dyDescent="0.25">
      <c r="A903">
        <v>1</v>
      </c>
      <c r="B903">
        <v>3</v>
      </c>
      <c r="C903" t="s">
        <v>11</v>
      </c>
      <c r="D903" t="s">
        <v>15</v>
      </c>
      <c r="E903" t="s">
        <v>32</v>
      </c>
      <c r="F903">
        <v>3924</v>
      </c>
      <c r="G903">
        <f>+YEAR(Tabla__192.168.1.8_POSEIDONSQL_APPFVT_01_SQLFacturasRendidas[[#This Row],[f_facturacion]])</f>
        <v>2018</v>
      </c>
      <c r="H90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903">
        <f>+IF(Tabla__192.168.1.8_POSEIDONSQL_APPFVT_01_SQLFacturasRendidas[[#This Row],[epc_nombre]]="RENDIDA",1,0)</f>
        <v>1</v>
      </c>
      <c r="J903">
        <f>+IF(Tabla__192.168.1.8_POSEIDONSQL_APPFVT_01_SQLFacturasRendidas[[#This Row],[usu_codigo]]="","",1)</f>
        <v>1</v>
      </c>
    </row>
    <row r="904" spans="1:10" x14ac:dyDescent="0.25">
      <c r="A904">
        <v>1</v>
      </c>
      <c r="B904">
        <v>3</v>
      </c>
      <c r="C904" t="s">
        <v>11</v>
      </c>
      <c r="D904" t="s">
        <v>15</v>
      </c>
      <c r="E904" t="s">
        <v>32</v>
      </c>
      <c r="F904">
        <v>3925</v>
      </c>
      <c r="G904">
        <f>+YEAR(Tabla__192.168.1.8_POSEIDONSQL_APPFVT_01_SQLFacturasRendidas[[#This Row],[f_facturacion]])</f>
        <v>2018</v>
      </c>
      <c r="H90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904">
        <f>+IF(Tabla__192.168.1.8_POSEIDONSQL_APPFVT_01_SQLFacturasRendidas[[#This Row],[epc_nombre]]="RENDIDA",1,0)</f>
        <v>1</v>
      </c>
      <c r="J904">
        <f>+IF(Tabla__192.168.1.8_POSEIDONSQL_APPFVT_01_SQLFacturasRendidas[[#This Row],[usu_codigo]]="","",1)</f>
        <v>1</v>
      </c>
    </row>
    <row r="905" spans="1:10" x14ac:dyDescent="0.25">
      <c r="A905">
        <v>1</v>
      </c>
      <c r="B905">
        <v>3</v>
      </c>
      <c r="C905" t="s">
        <v>11</v>
      </c>
      <c r="D905" t="s">
        <v>15</v>
      </c>
      <c r="E905" t="s">
        <v>32</v>
      </c>
      <c r="F905">
        <v>3926</v>
      </c>
      <c r="G905">
        <f>+YEAR(Tabla__192.168.1.8_POSEIDONSQL_APPFVT_01_SQLFacturasRendidas[[#This Row],[f_facturacion]])</f>
        <v>2018</v>
      </c>
      <c r="H90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905">
        <f>+IF(Tabla__192.168.1.8_POSEIDONSQL_APPFVT_01_SQLFacturasRendidas[[#This Row],[epc_nombre]]="RENDIDA",1,0)</f>
        <v>1</v>
      </c>
      <c r="J905">
        <f>+IF(Tabla__192.168.1.8_POSEIDONSQL_APPFVT_01_SQLFacturasRendidas[[#This Row],[usu_codigo]]="","",1)</f>
        <v>1</v>
      </c>
    </row>
    <row r="906" spans="1:10" x14ac:dyDescent="0.25">
      <c r="A906">
        <v>1</v>
      </c>
      <c r="B906">
        <v>3</v>
      </c>
      <c r="C906" t="s">
        <v>11</v>
      </c>
      <c r="D906" t="s">
        <v>15</v>
      </c>
      <c r="E906" t="s">
        <v>32</v>
      </c>
      <c r="F906">
        <v>3927</v>
      </c>
      <c r="G906">
        <f>+YEAR(Tabla__192.168.1.8_POSEIDONSQL_APPFVT_01_SQLFacturasRendidas[[#This Row],[f_facturacion]])</f>
        <v>2018</v>
      </c>
      <c r="H90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906">
        <f>+IF(Tabla__192.168.1.8_POSEIDONSQL_APPFVT_01_SQLFacturasRendidas[[#This Row],[epc_nombre]]="RENDIDA",1,0)</f>
        <v>1</v>
      </c>
      <c r="J906">
        <f>+IF(Tabla__192.168.1.8_POSEIDONSQL_APPFVT_01_SQLFacturasRendidas[[#This Row],[usu_codigo]]="","",1)</f>
        <v>1</v>
      </c>
    </row>
    <row r="907" spans="1:10" x14ac:dyDescent="0.25">
      <c r="A907">
        <v>1</v>
      </c>
      <c r="B907">
        <v>3</v>
      </c>
      <c r="C907" t="s">
        <v>11</v>
      </c>
      <c r="D907" t="s">
        <v>15</v>
      </c>
      <c r="E907" t="s">
        <v>32</v>
      </c>
      <c r="F907">
        <v>3928</v>
      </c>
      <c r="G907">
        <f>+YEAR(Tabla__192.168.1.8_POSEIDONSQL_APPFVT_01_SQLFacturasRendidas[[#This Row],[f_facturacion]])</f>
        <v>2018</v>
      </c>
      <c r="H90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907">
        <f>+IF(Tabla__192.168.1.8_POSEIDONSQL_APPFVT_01_SQLFacturasRendidas[[#This Row],[epc_nombre]]="RENDIDA",1,0)</f>
        <v>1</v>
      </c>
      <c r="J907">
        <f>+IF(Tabla__192.168.1.8_POSEIDONSQL_APPFVT_01_SQLFacturasRendidas[[#This Row],[usu_codigo]]="","",1)</f>
        <v>1</v>
      </c>
    </row>
    <row r="908" spans="1:10" x14ac:dyDescent="0.25">
      <c r="A908">
        <v>1</v>
      </c>
      <c r="B908">
        <v>3</v>
      </c>
      <c r="C908" t="s">
        <v>11</v>
      </c>
      <c r="D908" t="s">
        <v>15</v>
      </c>
      <c r="E908" t="s">
        <v>32</v>
      </c>
      <c r="F908">
        <v>3929</v>
      </c>
      <c r="G908">
        <f>+YEAR(Tabla__192.168.1.8_POSEIDONSQL_APPFVT_01_SQLFacturasRendidas[[#This Row],[f_facturacion]])</f>
        <v>2018</v>
      </c>
      <c r="H90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908">
        <f>+IF(Tabla__192.168.1.8_POSEIDONSQL_APPFVT_01_SQLFacturasRendidas[[#This Row],[epc_nombre]]="RENDIDA",1,0)</f>
        <v>1</v>
      </c>
      <c r="J908">
        <f>+IF(Tabla__192.168.1.8_POSEIDONSQL_APPFVT_01_SQLFacturasRendidas[[#This Row],[usu_codigo]]="","",1)</f>
        <v>1</v>
      </c>
    </row>
    <row r="909" spans="1:10" x14ac:dyDescent="0.25">
      <c r="A909">
        <v>1</v>
      </c>
      <c r="B909">
        <v>3</v>
      </c>
      <c r="C909" t="s">
        <v>11</v>
      </c>
      <c r="D909" t="s">
        <v>15</v>
      </c>
      <c r="E909" t="s">
        <v>32</v>
      </c>
      <c r="F909">
        <v>3930</v>
      </c>
      <c r="G909">
        <f>+YEAR(Tabla__192.168.1.8_POSEIDONSQL_APPFVT_01_SQLFacturasRendidas[[#This Row],[f_facturacion]])</f>
        <v>2018</v>
      </c>
      <c r="H90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909">
        <f>+IF(Tabla__192.168.1.8_POSEIDONSQL_APPFVT_01_SQLFacturasRendidas[[#This Row],[epc_nombre]]="RENDIDA",1,0)</f>
        <v>1</v>
      </c>
      <c r="J909">
        <f>+IF(Tabla__192.168.1.8_POSEIDONSQL_APPFVT_01_SQLFacturasRendidas[[#This Row],[usu_codigo]]="","",1)</f>
        <v>1</v>
      </c>
    </row>
    <row r="910" spans="1:10" x14ac:dyDescent="0.25">
      <c r="A910">
        <v>1</v>
      </c>
      <c r="B910">
        <v>3</v>
      </c>
      <c r="C910" t="s">
        <v>11</v>
      </c>
      <c r="D910" t="s">
        <v>15</v>
      </c>
      <c r="E910" t="s">
        <v>32</v>
      </c>
      <c r="F910">
        <v>3931</v>
      </c>
      <c r="G910">
        <f>+YEAR(Tabla__192.168.1.8_POSEIDONSQL_APPFVT_01_SQLFacturasRendidas[[#This Row],[f_facturacion]])</f>
        <v>2018</v>
      </c>
      <c r="H91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910">
        <f>+IF(Tabla__192.168.1.8_POSEIDONSQL_APPFVT_01_SQLFacturasRendidas[[#This Row],[epc_nombre]]="RENDIDA",1,0)</f>
        <v>1</v>
      </c>
      <c r="J910">
        <f>+IF(Tabla__192.168.1.8_POSEIDONSQL_APPFVT_01_SQLFacturasRendidas[[#This Row],[usu_codigo]]="","",1)</f>
        <v>1</v>
      </c>
    </row>
    <row r="911" spans="1:10" x14ac:dyDescent="0.25">
      <c r="A911">
        <v>1</v>
      </c>
      <c r="B911">
        <v>3</v>
      </c>
      <c r="C911" t="s">
        <v>11</v>
      </c>
      <c r="D911" t="s">
        <v>15</v>
      </c>
      <c r="E911" t="s">
        <v>32</v>
      </c>
      <c r="F911">
        <v>3932</v>
      </c>
      <c r="G911">
        <f>+YEAR(Tabla__192.168.1.8_POSEIDONSQL_APPFVT_01_SQLFacturasRendidas[[#This Row],[f_facturacion]])</f>
        <v>2018</v>
      </c>
      <c r="H91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911">
        <f>+IF(Tabla__192.168.1.8_POSEIDONSQL_APPFVT_01_SQLFacturasRendidas[[#This Row],[epc_nombre]]="RENDIDA",1,0)</f>
        <v>1</v>
      </c>
      <c r="J911">
        <f>+IF(Tabla__192.168.1.8_POSEIDONSQL_APPFVT_01_SQLFacturasRendidas[[#This Row],[usu_codigo]]="","",1)</f>
        <v>1</v>
      </c>
    </row>
    <row r="912" spans="1:10" x14ac:dyDescent="0.25">
      <c r="A912">
        <v>1</v>
      </c>
      <c r="B912">
        <v>3</v>
      </c>
      <c r="C912" t="s">
        <v>11</v>
      </c>
      <c r="D912" t="s">
        <v>15</v>
      </c>
      <c r="E912" t="s">
        <v>32</v>
      </c>
      <c r="F912">
        <v>3933</v>
      </c>
      <c r="G912">
        <f>+YEAR(Tabla__192.168.1.8_POSEIDONSQL_APPFVT_01_SQLFacturasRendidas[[#This Row],[f_facturacion]])</f>
        <v>2018</v>
      </c>
      <c r="H91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912">
        <f>+IF(Tabla__192.168.1.8_POSEIDONSQL_APPFVT_01_SQLFacturasRendidas[[#This Row],[epc_nombre]]="RENDIDA",1,0)</f>
        <v>1</v>
      </c>
      <c r="J912">
        <f>+IF(Tabla__192.168.1.8_POSEIDONSQL_APPFVT_01_SQLFacturasRendidas[[#This Row],[usu_codigo]]="","",1)</f>
        <v>1</v>
      </c>
    </row>
    <row r="913" spans="1:10" x14ac:dyDescent="0.25">
      <c r="A913">
        <v>1</v>
      </c>
      <c r="B913">
        <v>3</v>
      </c>
      <c r="C913" t="s">
        <v>11</v>
      </c>
      <c r="D913" t="s">
        <v>15</v>
      </c>
      <c r="E913" t="s">
        <v>32</v>
      </c>
      <c r="F913">
        <v>3934</v>
      </c>
      <c r="G913">
        <f>+YEAR(Tabla__192.168.1.8_POSEIDONSQL_APPFVT_01_SQLFacturasRendidas[[#This Row],[f_facturacion]])</f>
        <v>2018</v>
      </c>
      <c r="H91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913">
        <f>+IF(Tabla__192.168.1.8_POSEIDONSQL_APPFVT_01_SQLFacturasRendidas[[#This Row],[epc_nombre]]="RENDIDA",1,0)</f>
        <v>1</v>
      </c>
      <c r="J913">
        <f>+IF(Tabla__192.168.1.8_POSEIDONSQL_APPFVT_01_SQLFacturasRendidas[[#This Row],[usu_codigo]]="","",1)</f>
        <v>1</v>
      </c>
    </row>
    <row r="914" spans="1:10" x14ac:dyDescent="0.25">
      <c r="A914">
        <v>1</v>
      </c>
      <c r="B914">
        <v>3</v>
      </c>
      <c r="C914" t="s">
        <v>11</v>
      </c>
      <c r="D914" t="s">
        <v>15</v>
      </c>
      <c r="E914" t="s">
        <v>32</v>
      </c>
      <c r="F914">
        <v>3935</v>
      </c>
      <c r="G914">
        <f>+YEAR(Tabla__192.168.1.8_POSEIDONSQL_APPFVT_01_SQLFacturasRendidas[[#This Row],[f_facturacion]])</f>
        <v>2018</v>
      </c>
      <c r="H91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914">
        <f>+IF(Tabla__192.168.1.8_POSEIDONSQL_APPFVT_01_SQLFacturasRendidas[[#This Row],[epc_nombre]]="RENDIDA",1,0)</f>
        <v>1</v>
      </c>
      <c r="J914">
        <f>+IF(Tabla__192.168.1.8_POSEIDONSQL_APPFVT_01_SQLFacturasRendidas[[#This Row],[usu_codigo]]="","",1)</f>
        <v>1</v>
      </c>
    </row>
    <row r="915" spans="1:10" x14ac:dyDescent="0.25">
      <c r="A915">
        <v>1</v>
      </c>
      <c r="B915">
        <v>3</v>
      </c>
      <c r="C915" t="s">
        <v>11</v>
      </c>
      <c r="D915" t="s">
        <v>15</v>
      </c>
      <c r="E915" t="s">
        <v>32</v>
      </c>
      <c r="F915">
        <v>3936</v>
      </c>
      <c r="G915">
        <f>+YEAR(Tabla__192.168.1.8_POSEIDONSQL_APPFVT_01_SQLFacturasRendidas[[#This Row],[f_facturacion]])</f>
        <v>2018</v>
      </c>
      <c r="H91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915">
        <f>+IF(Tabla__192.168.1.8_POSEIDONSQL_APPFVT_01_SQLFacturasRendidas[[#This Row],[epc_nombre]]="RENDIDA",1,0)</f>
        <v>1</v>
      </c>
      <c r="J915">
        <f>+IF(Tabla__192.168.1.8_POSEIDONSQL_APPFVT_01_SQLFacturasRendidas[[#This Row],[usu_codigo]]="","",1)</f>
        <v>1</v>
      </c>
    </row>
    <row r="916" spans="1:10" x14ac:dyDescent="0.25">
      <c r="A916">
        <v>1</v>
      </c>
      <c r="B916">
        <v>3</v>
      </c>
      <c r="C916" t="s">
        <v>11</v>
      </c>
      <c r="D916" t="s">
        <v>15</v>
      </c>
      <c r="E916" t="s">
        <v>32</v>
      </c>
      <c r="F916">
        <v>3937</v>
      </c>
      <c r="G916">
        <f>+YEAR(Tabla__192.168.1.8_POSEIDONSQL_APPFVT_01_SQLFacturasRendidas[[#This Row],[f_facturacion]])</f>
        <v>2018</v>
      </c>
      <c r="H91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916">
        <f>+IF(Tabla__192.168.1.8_POSEIDONSQL_APPFVT_01_SQLFacturasRendidas[[#This Row],[epc_nombre]]="RENDIDA",1,0)</f>
        <v>1</v>
      </c>
      <c r="J916">
        <f>+IF(Tabla__192.168.1.8_POSEIDONSQL_APPFVT_01_SQLFacturasRendidas[[#This Row],[usu_codigo]]="","",1)</f>
        <v>1</v>
      </c>
    </row>
    <row r="917" spans="1:10" x14ac:dyDescent="0.25">
      <c r="A917">
        <v>1</v>
      </c>
      <c r="B917">
        <v>3</v>
      </c>
      <c r="C917" t="s">
        <v>11</v>
      </c>
      <c r="D917" t="s">
        <v>15</v>
      </c>
      <c r="E917" t="s">
        <v>32</v>
      </c>
      <c r="F917">
        <v>3938</v>
      </c>
      <c r="G917">
        <f>+YEAR(Tabla__192.168.1.8_POSEIDONSQL_APPFVT_01_SQLFacturasRendidas[[#This Row],[f_facturacion]])</f>
        <v>2018</v>
      </c>
      <c r="H91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917">
        <f>+IF(Tabla__192.168.1.8_POSEIDONSQL_APPFVT_01_SQLFacturasRendidas[[#This Row],[epc_nombre]]="RENDIDA",1,0)</f>
        <v>1</v>
      </c>
      <c r="J917">
        <f>+IF(Tabla__192.168.1.8_POSEIDONSQL_APPFVT_01_SQLFacturasRendidas[[#This Row],[usu_codigo]]="","",1)</f>
        <v>1</v>
      </c>
    </row>
    <row r="918" spans="1:10" x14ac:dyDescent="0.25">
      <c r="A918">
        <v>1</v>
      </c>
      <c r="B918">
        <v>3</v>
      </c>
      <c r="C918" t="s">
        <v>11</v>
      </c>
      <c r="D918" t="s">
        <v>15</v>
      </c>
      <c r="E918" t="s">
        <v>32</v>
      </c>
      <c r="F918">
        <v>3939</v>
      </c>
      <c r="G918">
        <f>+YEAR(Tabla__192.168.1.8_POSEIDONSQL_APPFVT_01_SQLFacturasRendidas[[#This Row],[f_facturacion]])</f>
        <v>2018</v>
      </c>
      <c r="H91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918">
        <f>+IF(Tabla__192.168.1.8_POSEIDONSQL_APPFVT_01_SQLFacturasRendidas[[#This Row],[epc_nombre]]="RENDIDA",1,0)</f>
        <v>1</v>
      </c>
      <c r="J918">
        <f>+IF(Tabla__192.168.1.8_POSEIDONSQL_APPFVT_01_SQLFacturasRendidas[[#This Row],[usu_codigo]]="","",1)</f>
        <v>1</v>
      </c>
    </row>
    <row r="919" spans="1:10" x14ac:dyDescent="0.25">
      <c r="A919">
        <v>1</v>
      </c>
      <c r="B919">
        <v>3</v>
      </c>
      <c r="C919" t="s">
        <v>11</v>
      </c>
      <c r="D919" t="s">
        <v>15</v>
      </c>
      <c r="E919" t="s">
        <v>56</v>
      </c>
      <c r="F919">
        <v>3961</v>
      </c>
      <c r="G919">
        <f>+YEAR(Tabla__192.168.1.8_POSEIDONSQL_APPFVT_01_SQLFacturasRendidas[[#This Row],[f_facturacion]])</f>
        <v>2018</v>
      </c>
      <c r="H91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919">
        <f>+IF(Tabla__192.168.1.8_POSEIDONSQL_APPFVT_01_SQLFacturasRendidas[[#This Row],[epc_nombre]]="RENDIDA",1,0)</f>
        <v>1</v>
      </c>
      <c r="J919">
        <f>+IF(Tabla__192.168.1.8_POSEIDONSQL_APPFVT_01_SQLFacturasRendidas[[#This Row],[usu_codigo]]="","",1)</f>
        <v>1</v>
      </c>
    </row>
    <row r="920" spans="1:10" x14ac:dyDescent="0.25">
      <c r="A920">
        <v>1</v>
      </c>
      <c r="B920">
        <v>3</v>
      </c>
      <c r="C920" t="s">
        <v>11</v>
      </c>
      <c r="D920" t="s">
        <v>15</v>
      </c>
      <c r="E920" t="s">
        <v>56</v>
      </c>
      <c r="F920">
        <v>3973</v>
      </c>
      <c r="G920">
        <f>+YEAR(Tabla__192.168.1.8_POSEIDONSQL_APPFVT_01_SQLFacturasRendidas[[#This Row],[f_facturacion]])</f>
        <v>2018</v>
      </c>
      <c r="H92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920">
        <f>+IF(Tabla__192.168.1.8_POSEIDONSQL_APPFVT_01_SQLFacturasRendidas[[#This Row],[epc_nombre]]="RENDIDA",1,0)</f>
        <v>1</v>
      </c>
      <c r="J920">
        <f>+IF(Tabla__192.168.1.8_POSEIDONSQL_APPFVT_01_SQLFacturasRendidas[[#This Row],[usu_codigo]]="","",1)</f>
        <v>1</v>
      </c>
    </row>
    <row r="921" spans="1:10" x14ac:dyDescent="0.25">
      <c r="A921">
        <v>1</v>
      </c>
      <c r="B921">
        <v>3</v>
      </c>
      <c r="C921" t="s">
        <v>11</v>
      </c>
      <c r="D921" t="s">
        <v>15</v>
      </c>
      <c r="E921" t="s">
        <v>56</v>
      </c>
      <c r="F921">
        <v>3974</v>
      </c>
      <c r="G921">
        <f>+YEAR(Tabla__192.168.1.8_POSEIDONSQL_APPFVT_01_SQLFacturasRendidas[[#This Row],[f_facturacion]])</f>
        <v>2018</v>
      </c>
      <c r="H92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921">
        <f>+IF(Tabla__192.168.1.8_POSEIDONSQL_APPFVT_01_SQLFacturasRendidas[[#This Row],[epc_nombre]]="RENDIDA",1,0)</f>
        <v>1</v>
      </c>
      <c r="J921">
        <f>+IF(Tabla__192.168.1.8_POSEIDONSQL_APPFVT_01_SQLFacturasRendidas[[#This Row],[usu_codigo]]="","",1)</f>
        <v>1</v>
      </c>
    </row>
    <row r="922" spans="1:10" x14ac:dyDescent="0.25">
      <c r="A922">
        <v>1</v>
      </c>
      <c r="B922">
        <v>3</v>
      </c>
      <c r="C922" t="s">
        <v>81</v>
      </c>
      <c r="D922" t="s">
        <v>15</v>
      </c>
      <c r="E922" t="s">
        <v>46</v>
      </c>
      <c r="F922">
        <v>92259</v>
      </c>
      <c r="G922">
        <f>+YEAR(Tabla__192.168.1.8_POSEIDONSQL_APPFVT_01_SQLFacturasRendidas[[#This Row],[f_facturacion]])</f>
        <v>2018</v>
      </c>
      <c r="H92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922">
        <f>+IF(Tabla__192.168.1.8_POSEIDONSQL_APPFVT_01_SQLFacturasRendidas[[#This Row],[epc_nombre]]="RENDIDA",1,0)</f>
        <v>1</v>
      </c>
      <c r="J922">
        <f>+IF(Tabla__192.168.1.8_POSEIDONSQL_APPFVT_01_SQLFacturasRendidas[[#This Row],[usu_codigo]]="","",1)</f>
        <v>1</v>
      </c>
    </row>
    <row r="923" spans="1:10" x14ac:dyDescent="0.25">
      <c r="A923">
        <v>1</v>
      </c>
      <c r="B923">
        <v>3</v>
      </c>
      <c r="C923" t="s">
        <v>81</v>
      </c>
      <c r="D923" t="s">
        <v>15</v>
      </c>
      <c r="E923" t="s">
        <v>46</v>
      </c>
      <c r="F923">
        <v>92260</v>
      </c>
      <c r="G923">
        <f>+YEAR(Tabla__192.168.1.8_POSEIDONSQL_APPFVT_01_SQLFacturasRendidas[[#This Row],[f_facturacion]])</f>
        <v>2018</v>
      </c>
      <c r="H92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923">
        <f>+IF(Tabla__192.168.1.8_POSEIDONSQL_APPFVT_01_SQLFacturasRendidas[[#This Row],[epc_nombre]]="RENDIDA",1,0)</f>
        <v>1</v>
      </c>
      <c r="J923">
        <f>+IF(Tabla__192.168.1.8_POSEIDONSQL_APPFVT_01_SQLFacturasRendidas[[#This Row],[usu_codigo]]="","",1)</f>
        <v>1</v>
      </c>
    </row>
    <row r="924" spans="1:10" x14ac:dyDescent="0.25">
      <c r="A924">
        <v>1</v>
      </c>
      <c r="B924">
        <v>3</v>
      </c>
      <c r="C924" t="s">
        <v>81</v>
      </c>
      <c r="D924" t="s">
        <v>15</v>
      </c>
      <c r="E924" t="s">
        <v>46</v>
      </c>
      <c r="F924">
        <v>92261</v>
      </c>
      <c r="G924">
        <f>+YEAR(Tabla__192.168.1.8_POSEIDONSQL_APPFVT_01_SQLFacturasRendidas[[#This Row],[f_facturacion]])</f>
        <v>2018</v>
      </c>
      <c r="H92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924">
        <f>+IF(Tabla__192.168.1.8_POSEIDONSQL_APPFVT_01_SQLFacturasRendidas[[#This Row],[epc_nombre]]="RENDIDA",1,0)</f>
        <v>1</v>
      </c>
      <c r="J924">
        <f>+IF(Tabla__192.168.1.8_POSEIDONSQL_APPFVT_01_SQLFacturasRendidas[[#This Row],[usu_codigo]]="","",1)</f>
        <v>1</v>
      </c>
    </row>
    <row r="925" spans="1:10" x14ac:dyDescent="0.25">
      <c r="A925">
        <v>1</v>
      </c>
      <c r="B925">
        <v>3</v>
      </c>
      <c r="C925" t="s">
        <v>81</v>
      </c>
      <c r="D925" t="s">
        <v>15</v>
      </c>
      <c r="E925" t="s">
        <v>46</v>
      </c>
      <c r="F925">
        <v>92262</v>
      </c>
      <c r="G925">
        <f>+YEAR(Tabla__192.168.1.8_POSEIDONSQL_APPFVT_01_SQLFacturasRendidas[[#This Row],[f_facturacion]])</f>
        <v>2018</v>
      </c>
      <c r="H92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925">
        <f>+IF(Tabla__192.168.1.8_POSEIDONSQL_APPFVT_01_SQLFacturasRendidas[[#This Row],[epc_nombre]]="RENDIDA",1,0)</f>
        <v>1</v>
      </c>
      <c r="J925">
        <f>+IF(Tabla__192.168.1.8_POSEIDONSQL_APPFVT_01_SQLFacturasRendidas[[#This Row],[usu_codigo]]="","",1)</f>
        <v>1</v>
      </c>
    </row>
    <row r="926" spans="1:10" x14ac:dyDescent="0.25">
      <c r="A926">
        <v>1</v>
      </c>
      <c r="B926">
        <v>3</v>
      </c>
      <c r="C926" t="s">
        <v>81</v>
      </c>
      <c r="D926" t="s">
        <v>15</v>
      </c>
      <c r="E926" t="s">
        <v>46</v>
      </c>
      <c r="F926">
        <v>92263</v>
      </c>
      <c r="G926">
        <f>+YEAR(Tabla__192.168.1.8_POSEIDONSQL_APPFVT_01_SQLFacturasRendidas[[#This Row],[f_facturacion]])</f>
        <v>2018</v>
      </c>
      <c r="H92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926">
        <f>+IF(Tabla__192.168.1.8_POSEIDONSQL_APPFVT_01_SQLFacturasRendidas[[#This Row],[epc_nombre]]="RENDIDA",1,0)</f>
        <v>1</v>
      </c>
      <c r="J926">
        <f>+IF(Tabla__192.168.1.8_POSEIDONSQL_APPFVT_01_SQLFacturasRendidas[[#This Row],[usu_codigo]]="","",1)</f>
        <v>1</v>
      </c>
    </row>
    <row r="927" spans="1:10" x14ac:dyDescent="0.25">
      <c r="A927">
        <v>1</v>
      </c>
      <c r="B927">
        <v>3</v>
      </c>
      <c r="C927" t="s">
        <v>81</v>
      </c>
      <c r="D927" t="s">
        <v>15</v>
      </c>
      <c r="E927" t="s">
        <v>46</v>
      </c>
      <c r="F927">
        <v>92264</v>
      </c>
      <c r="G927">
        <f>+YEAR(Tabla__192.168.1.8_POSEIDONSQL_APPFVT_01_SQLFacturasRendidas[[#This Row],[f_facturacion]])</f>
        <v>2018</v>
      </c>
      <c r="H92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927">
        <f>+IF(Tabla__192.168.1.8_POSEIDONSQL_APPFVT_01_SQLFacturasRendidas[[#This Row],[epc_nombre]]="RENDIDA",1,0)</f>
        <v>1</v>
      </c>
      <c r="J927">
        <f>+IF(Tabla__192.168.1.8_POSEIDONSQL_APPFVT_01_SQLFacturasRendidas[[#This Row],[usu_codigo]]="","",1)</f>
        <v>1</v>
      </c>
    </row>
    <row r="928" spans="1:10" x14ac:dyDescent="0.25">
      <c r="A928">
        <v>1</v>
      </c>
      <c r="B928">
        <v>3</v>
      </c>
      <c r="C928" t="s">
        <v>81</v>
      </c>
      <c r="D928" t="s">
        <v>15</v>
      </c>
      <c r="E928" t="s">
        <v>46</v>
      </c>
      <c r="F928">
        <v>92265</v>
      </c>
      <c r="G928">
        <f>+YEAR(Tabla__192.168.1.8_POSEIDONSQL_APPFVT_01_SQLFacturasRendidas[[#This Row],[f_facturacion]])</f>
        <v>2018</v>
      </c>
      <c r="H92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928">
        <f>+IF(Tabla__192.168.1.8_POSEIDONSQL_APPFVT_01_SQLFacturasRendidas[[#This Row],[epc_nombre]]="RENDIDA",1,0)</f>
        <v>1</v>
      </c>
      <c r="J928">
        <f>+IF(Tabla__192.168.1.8_POSEIDONSQL_APPFVT_01_SQLFacturasRendidas[[#This Row],[usu_codigo]]="","",1)</f>
        <v>1</v>
      </c>
    </row>
    <row r="929" spans="1:10" x14ac:dyDescent="0.25">
      <c r="A929">
        <v>1</v>
      </c>
      <c r="B929">
        <v>3</v>
      </c>
      <c r="C929" t="s">
        <v>81</v>
      </c>
      <c r="D929" t="s">
        <v>15</v>
      </c>
      <c r="E929" t="s">
        <v>46</v>
      </c>
      <c r="F929">
        <v>92266</v>
      </c>
      <c r="G929">
        <f>+YEAR(Tabla__192.168.1.8_POSEIDONSQL_APPFVT_01_SQLFacturasRendidas[[#This Row],[f_facturacion]])</f>
        <v>2018</v>
      </c>
      <c r="H92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929">
        <f>+IF(Tabla__192.168.1.8_POSEIDONSQL_APPFVT_01_SQLFacturasRendidas[[#This Row],[epc_nombre]]="RENDIDA",1,0)</f>
        <v>1</v>
      </c>
      <c r="J929">
        <f>+IF(Tabla__192.168.1.8_POSEIDONSQL_APPFVT_01_SQLFacturasRendidas[[#This Row],[usu_codigo]]="","",1)</f>
        <v>1</v>
      </c>
    </row>
    <row r="930" spans="1:10" x14ac:dyDescent="0.25">
      <c r="A930">
        <v>1</v>
      </c>
      <c r="B930">
        <v>3</v>
      </c>
      <c r="C930" t="s">
        <v>81</v>
      </c>
      <c r="D930" t="s">
        <v>15</v>
      </c>
      <c r="E930" t="s">
        <v>46</v>
      </c>
      <c r="F930">
        <v>92267</v>
      </c>
      <c r="G930">
        <f>+YEAR(Tabla__192.168.1.8_POSEIDONSQL_APPFVT_01_SQLFacturasRendidas[[#This Row],[f_facturacion]])</f>
        <v>2018</v>
      </c>
      <c r="H93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930">
        <f>+IF(Tabla__192.168.1.8_POSEIDONSQL_APPFVT_01_SQLFacturasRendidas[[#This Row],[epc_nombre]]="RENDIDA",1,0)</f>
        <v>1</v>
      </c>
      <c r="J930">
        <f>+IF(Tabla__192.168.1.8_POSEIDONSQL_APPFVT_01_SQLFacturasRendidas[[#This Row],[usu_codigo]]="","",1)</f>
        <v>1</v>
      </c>
    </row>
    <row r="931" spans="1:10" x14ac:dyDescent="0.25">
      <c r="A931">
        <v>1</v>
      </c>
      <c r="B931">
        <v>3</v>
      </c>
      <c r="C931" t="s">
        <v>81</v>
      </c>
      <c r="D931" t="s">
        <v>15</v>
      </c>
      <c r="E931" t="s">
        <v>46</v>
      </c>
      <c r="F931">
        <v>92268</v>
      </c>
      <c r="G931">
        <f>+YEAR(Tabla__192.168.1.8_POSEIDONSQL_APPFVT_01_SQLFacturasRendidas[[#This Row],[f_facturacion]])</f>
        <v>2018</v>
      </c>
      <c r="H93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931">
        <f>+IF(Tabla__192.168.1.8_POSEIDONSQL_APPFVT_01_SQLFacturasRendidas[[#This Row],[epc_nombre]]="RENDIDA",1,0)</f>
        <v>1</v>
      </c>
      <c r="J931">
        <f>+IF(Tabla__192.168.1.8_POSEIDONSQL_APPFVT_01_SQLFacturasRendidas[[#This Row],[usu_codigo]]="","",1)</f>
        <v>1</v>
      </c>
    </row>
    <row r="932" spans="1:10" x14ac:dyDescent="0.25">
      <c r="A932">
        <v>1</v>
      </c>
      <c r="B932">
        <v>3</v>
      </c>
      <c r="C932" t="s">
        <v>81</v>
      </c>
      <c r="D932" t="s">
        <v>15</v>
      </c>
      <c r="E932" t="s">
        <v>46</v>
      </c>
      <c r="F932">
        <v>92269</v>
      </c>
      <c r="G932">
        <f>+YEAR(Tabla__192.168.1.8_POSEIDONSQL_APPFVT_01_SQLFacturasRendidas[[#This Row],[f_facturacion]])</f>
        <v>2018</v>
      </c>
      <c r="H93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932">
        <f>+IF(Tabla__192.168.1.8_POSEIDONSQL_APPFVT_01_SQLFacturasRendidas[[#This Row],[epc_nombre]]="RENDIDA",1,0)</f>
        <v>1</v>
      </c>
      <c r="J932">
        <f>+IF(Tabla__192.168.1.8_POSEIDONSQL_APPFVT_01_SQLFacturasRendidas[[#This Row],[usu_codigo]]="","",1)</f>
        <v>1</v>
      </c>
    </row>
    <row r="933" spans="1:10" x14ac:dyDescent="0.25">
      <c r="A933">
        <v>1</v>
      </c>
      <c r="B933">
        <v>3</v>
      </c>
      <c r="C933" t="s">
        <v>81</v>
      </c>
      <c r="D933" t="s">
        <v>15</v>
      </c>
      <c r="E933" t="s">
        <v>46</v>
      </c>
      <c r="F933">
        <v>92270</v>
      </c>
      <c r="G933">
        <f>+YEAR(Tabla__192.168.1.8_POSEIDONSQL_APPFVT_01_SQLFacturasRendidas[[#This Row],[f_facturacion]])</f>
        <v>2018</v>
      </c>
      <c r="H93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933">
        <f>+IF(Tabla__192.168.1.8_POSEIDONSQL_APPFVT_01_SQLFacturasRendidas[[#This Row],[epc_nombre]]="RENDIDA",1,0)</f>
        <v>1</v>
      </c>
      <c r="J933">
        <f>+IF(Tabla__192.168.1.8_POSEIDONSQL_APPFVT_01_SQLFacturasRendidas[[#This Row],[usu_codigo]]="","",1)</f>
        <v>1</v>
      </c>
    </row>
    <row r="934" spans="1:10" x14ac:dyDescent="0.25">
      <c r="A934">
        <v>1</v>
      </c>
      <c r="B934">
        <v>3</v>
      </c>
      <c r="C934" t="s">
        <v>81</v>
      </c>
      <c r="D934" t="s">
        <v>15</v>
      </c>
      <c r="E934" t="s">
        <v>46</v>
      </c>
      <c r="F934">
        <v>92271</v>
      </c>
      <c r="G934">
        <f>+YEAR(Tabla__192.168.1.8_POSEIDONSQL_APPFVT_01_SQLFacturasRendidas[[#This Row],[f_facturacion]])</f>
        <v>2018</v>
      </c>
      <c r="H93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934">
        <f>+IF(Tabla__192.168.1.8_POSEIDONSQL_APPFVT_01_SQLFacturasRendidas[[#This Row],[epc_nombre]]="RENDIDA",1,0)</f>
        <v>1</v>
      </c>
      <c r="J934">
        <f>+IF(Tabla__192.168.1.8_POSEIDONSQL_APPFVT_01_SQLFacturasRendidas[[#This Row],[usu_codigo]]="","",1)</f>
        <v>1</v>
      </c>
    </row>
    <row r="935" spans="1:10" x14ac:dyDescent="0.25">
      <c r="A935">
        <v>1</v>
      </c>
      <c r="B935">
        <v>3</v>
      </c>
      <c r="C935" t="s">
        <v>81</v>
      </c>
      <c r="D935" t="s">
        <v>15</v>
      </c>
      <c r="E935" t="s">
        <v>46</v>
      </c>
      <c r="F935">
        <v>92272</v>
      </c>
      <c r="G935">
        <f>+YEAR(Tabla__192.168.1.8_POSEIDONSQL_APPFVT_01_SQLFacturasRendidas[[#This Row],[f_facturacion]])</f>
        <v>2018</v>
      </c>
      <c r="H93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935">
        <f>+IF(Tabla__192.168.1.8_POSEIDONSQL_APPFVT_01_SQLFacturasRendidas[[#This Row],[epc_nombre]]="RENDIDA",1,0)</f>
        <v>1</v>
      </c>
      <c r="J935">
        <f>+IF(Tabla__192.168.1.8_POSEIDONSQL_APPFVT_01_SQLFacturasRendidas[[#This Row],[usu_codigo]]="","",1)</f>
        <v>1</v>
      </c>
    </row>
    <row r="936" spans="1:10" x14ac:dyDescent="0.25">
      <c r="A936">
        <v>1</v>
      </c>
      <c r="B936">
        <v>3</v>
      </c>
      <c r="C936" t="s">
        <v>81</v>
      </c>
      <c r="D936" t="s">
        <v>15</v>
      </c>
      <c r="E936" t="s">
        <v>46</v>
      </c>
      <c r="F936">
        <v>92273</v>
      </c>
      <c r="G936">
        <f>+YEAR(Tabla__192.168.1.8_POSEIDONSQL_APPFVT_01_SQLFacturasRendidas[[#This Row],[f_facturacion]])</f>
        <v>2018</v>
      </c>
      <c r="H93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936">
        <f>+IF(Tabla__192.168.1.8_POSEIDONSQL_APPFVT_01_SQLFacturasRendidas[[#This Row],[epc_nombre]]="RENDIDA",1,0)</f>
        <v>1</v>
      </c>
      <c r="J936">
        <f>+IF(Tabla__192.168.1.8_POSEIDONSQL_APPFVT_01_SQLFacturasRendidas[[#This Row],[usu_codigo]]="","",1)</f>
        <v>1</v>
      </c>
    </row>
    <row r="937" spans="1:10" x14ac:dyDescent="0.25">
      <c r="A937">
        <v>1</v>
      </c>
      <c r="B937">
        <v>3</v>
      </c>
      <c r="C937" t="s">
        <v>81</v>
      </c>
      <c r="D937" t="s">
        <v>15</v>
      </c>
      <c r="E937" t="s">
        <v>46</v>
      </c>
      <c r="F937">
        <v>92274</v>
      </c>
      <c r="G937">
        <f>+YEAR(Tabla__192.168.1.8_POSEIDONSQL_APPFVT_01_SQLFacturasRendidas[[#This Row],[f_facturacion]])</f>
        <v>2018</v>
      </c>
      <c r="H93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937">
        <f>+IF(Tabla__192.168.1.8_POSEIDONSQL_APPFVT_01_SQLFacturasRendidas[[#This Row],[epc_nombre]]="RENDIDA",1,0)</f>
        <v>1</v>
      </c>
      <c r="J937">
        <f>+IF(Tabla__192.168.1.8_POSEIDONSQL_APPFVT_01_SQLFacturasRendidas[[#This Row],[usu_codigo]]="","",1)</f>
        <v>1</v>
      </c>
    </row>
    <row r="938" spans="1:10" x14ac:dyDescent="0.25">
      <c r="A938">
        <v>1</v>
      </c>
      <c r="B938">
        <v>3</v>
      </c>
      <c r="C938" t="s">
        <v>81</v>
      </c>
      <c r="D938" t="s">
        <v>15</v>
      </c>
      <c r="E938" t="s">
        <v>46</v>
      </c>
      <c r="F938">
        <v>92275</v>
      </c>
      <c r="G938">
        <f>+YEAR(Tabla__192.168.1.8_POSEIDONSQL_APPFVT_01_SQLFacturasRendidas[[#This Row],[f_facturacion]])</f>
        <v>2018</v>
      </c>
      <c r="H93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938">
        <f>+IF(Tabla__192.168.1.8_POSEIDONSQL_APPFVT_01_SQLFacturasRendidas[[#This Row],[epc_nombre]]="RENDIDA",1,0)</f>
        <v>1</v>
      </c>
      <c r="J938">
        <f>+IF(Tabla__192.168.1.8_POSEIDONSQL_APPFVT_01_SQLFacturasRendidas[[#This Row],[usu_codigo]]="","",1)</f>
        <v>1</v>
      </c>
    </row>
    <row r="939" spans="1:10" x14ac:dyDescent="0.25">
      <c r="A939">
        <v>1</v>
      </c>
      <c r="B939">
        <v>3</v>
      </c>
      <c r="C939" t="s">
        <v>81</v>
      </c>
      <c r="D939" t="s">
        <v>15</v>
      </c>
      <c r="E939" t="s">
        <v>46</v>
      </c>
      <c r="F939">
        <v>92276</v>
      </c>
      <c r="G939">
        <f>+YEAR(Tabla__192.168.1.8_POSEIDONSQL_APPFVT_01_SQLFacturasRendidas[[#This Row],[f_facturacion]])</f>
        <v>2018</v>
      </c>
      <c r="H93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939">
        <f>+IF(Tabla__192.168.1.8_POSEIDONSQL_APPFVT_01_SQLFacturasRendidas[[#This Row],[epc_nombre]]="RENDIDA",1,0)</f>
        <v>1</v>
      </c>
      <c r="J939">
        <f>+IF(Tabla__192.168.1.8_POSEIDONSQL_APPFVT_01_SQLFacturasRendidas[[#This Row],[usu_codigo]]="","",1)</f>
        <v>1</v>
      </c>
    </row>
    <row r="940" spans="1:10" x14ac:dyDescent="0.25">
      <c r="A940">
        <v>1</v>
      </c>
      <c r="B940">
        <v>3</v>
      </c>
      <c r="C940" t="s">
        <v>81</v>
      </c>
      <c r="D940" t="s">
        <v>15</v>
      </c>
      <c r="E940" t="s">
        <v>46</v>
      </c>
      <c r="F940">
        <v>92277</v>
      </c>
      <c r="G940">
        <f>+YEAR(Tabla__192.168.1.8_POSEIDONSQL_APPFVT_01_SQLFacturasRendidas[[#This Row],[f_facturacion]])</f>
        <v>2018</v>
      </c>
      <c r="H94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940">
        <f>+IF(Tabla__192.168.1.8_POSEIDONSQL_APPFVT_01_SQLFacturasRendidas[[#This Row],[epc_nombre]]="RENDIDA",1,0)</f>
        <v>1</v>
      </c>
      <c r="J940">
        <f>+IF(Tabla__192.168.1.8_POSEIDONSQL_APPFVT_01_SQLFacturasRendidas[[#This Row],[usu_codigo]]="","",1)</f>
        <v>1</v>
      </c>
    </row>
    <row r="941" spans="1:10" x14ac:dyDescent="0.25">
      <c r="A941">
        <v>1</v>
      </c>
      <c r="B941">
        <v>3</v>
      </c>
      <c r="C941" t="s">
        <v>81</v>
      </c>
      <c r="D941" t="s">
        <v>15</v>
      </c>
      <c r="E941" t="s">
        <v>46</v>
      </c>
      <c r="F941">
        <v>92278</v>
      </c>
      <c r="G941">
        <f>+YEAR(Tabla__192.168.1.8_POSEIDONSQL_APPFVT_01_SQLFacturasRendidas[[#This Row],[f_facturacion]])</f>
        <v>2018</v>
      </c>
      <c r="H94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941">
        <f>+IF(Tabla__192.168.1.8_POSEIDONSQL_APPFVT_01_SQLFacturasRendidas[[#This Row],[epc_nombre]]="RENDIDA",1,0)</f>
        <v>1</v>
      </c>
      <c r="J941">
        <f>+IF(Tabla__192.168.1.8_POSEIDONSQL_APPFVT_01_SQLFacturasRendidas[[#This Row],[usu_codigo]]="","",1)</f>
        <v>1</v>
      </c>
    </row>
    <row r="942" spans="1:10" x14ac:dyDescent="0.25">
      <c r="A942">
        <v>1</v>
      </c>
      <c r="B942">
        <v>3</v>
      </c>
      <c r="C942" t="s">
        <v>81</v>
      </c>
      <c r="D942" t="s">
        <v>15</v>
      </c>
      <c r="E942" t="s">
        <v>46</v>
      </c>
      <c r="F942">
        <v>92279</v>
      </c>
      <c r="G942">
        <f>+YEAR(Tabla__192.168.1.8_POSEIDONSQL_APPFVT_01_SQLFacturasRendidas[[#This Row],[f_facturacion]])</f>
        <v>2018</v>
      </c>
      <c r="H94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942">
        <f>+IF(Tabla__192.168.1.8_POSEIDONSQL_APPFVT_01_SQLFacturasRendidas[[#This Row],[epc_nombre]]="RENDIDA",1,0)</f>
        <v>1</v>
      </c>
      <c r="J942">
        <f>+IF(Tabla__192.168.1.8_POSEIDONSQL_APPFVT_01_SQLFacturasRendidas[[#This Row],[usu_codigo]]="","",1)</f>
        <v>1</v>
      </c>
    </row>
    <row r="943" spans="1:10" x14ac:dyDescent="0.25">
      <c r="A943">
        <v>1</v>
      </c>
      <c r="B943">
        <v>3</v>
      </c>
      <c r="C943" t="s">
        <v>81</v>
      </c>
      <c r="D943" t="s">
        <v>15</v>
      </c>
      <c r="E943" t="s">
        <v>46</v>
      </c>
      <c r="F943">
        <v>92280</v>
      </c>
      <c r="G943">
        <f>+YEAR(Tabla__192.168.1.8_POSEIDONSQL_APPFVT_01_SQLFacturasRendidas[[#This Row],[f_facturacion]])</f>
        <v>2018</v>
      </c>
      <c r="H94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943">
        <f>+IF(Tabla__192.168.1.8_POSEIDONSQL_APPFVT_01_SQLFacturasRendidas[[#This Row],[epc_nombre]]="RENDIDA",1,0)</f>
        <v>1</v>
      </c>
      <c r="J943">
        <f>+IF(Tabla__192.168.1.8_POSEIDONSQL_APPFVT_01_SQLFacturasRendidas[[#This Row],[usu_codigo]]="","",1)</f>
        <v>1</v>
      </c>
    </row>
    <row r="944" spans="1:10" x14ac:dyDescent="0.25">
      <c r="A944">
        <v>1</v>
      </c>
      <c r="B944">
        <v>3</v>
      </c>
      <c r="C944" t="s">
        <v>81</v>
      </c>
      <c r="D944" t="s">
        <v>15</v>
      </c>
      <c r="E944" t="s">
        <v>46</v>
      </c>
      <c r="F944">
        <v>92281</v>
      </c>
      <c r="G944">
        <f>+YEAR(Tabla__192.168.1.8_POSEIDONSQL_APPFVT_01_SQLFacturasRendidas[[#This Row],[f_facturacion]])</f>
        <v>2018</v>
      </c>
      <c r="H94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944">
        <f>+IF(Tabla__192.168.1.8_POSEIDONSQL_APPFVT_01_SQLFacturasRendidas[[#This Row],[epc_nombre]]="RENDIDA",1,0)</f>
        <v>1</v>
      </c>
      <c r="J944">
        <f>+IF(Tabla__192.168.1.8_POSEIDONSQL_APPFVT_01_SQLFacturasRendidas[[#This Row],[usu_codigo]]="","",1)</f>
        <v>1</v>
      </c>
    </row>
    <row r="945" spans="1:10" x14ac:dyDescent="0.25">
      <c r="A945">
        <v>1</v>
      </c>
      <c r="B945">
        <v>3</v>
      </c>
      <c r="C945" t="s">
        <v>81</v>
      </c>
      <c r="D945" t="s">
        <v>15</v>
      </c>
      <c r="E945" t="s">
        <v>46</v>
      </c>
      <c r="F945">
        <v>92282</v>
      </c>
      <c r="G945">
        <f>+YEAR(Tabla__192.168.1.8_POSEIDONSQL_APPFVT_01_SQLFacturasRendidas[[#This Row],[f_facturacion]])</f>
        <v>2018</v>
      </c>
      <c r="H94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945">
        <f>+IF(Tabla__192.168.1.8_POSEIDONSQL_APPFVT_01_SQLFacturasRendidas[[#This Row],[epc_nombre]]="RENDIDA",1,0)</f>
        <v>1</v>
      </c>
      <c r="J945">
        <f>+IF(Tabla__192.168.1.8_POSEIDONSQL_APPFVT_01_SQLFacturasRendidas[[#This Row],[usu_codigo]]="","",1)</f>
        <v>1</v>
      </c>
    </row>
    <row r="946" spans="1:10" x14ac:dyDescent="0.25">
      <c r="A946">
        <v>1</v>
      </c>
      <c r="B946">
        <v>3</v>
      </c>
      <c r="C946" t="s">
        <v>81</v>
      </c>
      <c r="D946" t="s">
        <v>15</v>
      </c>
      <c r="E946" t="s">
        <v>46</v>
      </c>
      <c r="F946">
        <v>92283</v>
      </c>
      <c r="G946">
        <f>+YEAR(Tabla__192.168.1.8_POSEIDONSQL_APPFVT_01_SQLFacturasRendidas[[#This Row],[f_facturacion]])</f>
        <v>2018</v>
      </c>
      <c r="H94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946">
        <f>+IF(Tabla__192.168.1.8_POSEIDONSQL_APPFVT_01_SQLFacturasRendidas[[#This Row],[epc_nombre]]="RENDIDA",1,0)</f>
        <v>1</v>
      </c>
      <c r="J946">
        <f>+IF(Tabla__192.168.1.8_POSEIDONSQL_APPFVT_01_SQLFacturasRendidas[[#This Row],[usu_codigo]]="","",1)</f>
        <v>1</v>
      </c>
    </row>
    <row r="947" spans="1:10" x14ac:dyDescent="0.25">
      <c r="A947">
        <v>1</v>
      </c>
      <c r="B947">
        <v>3</v>
      </c>
      <c r="C947" t="s">
        <v>81</v>
      </c>
      <c r="D947" t="s">
        <v>15</v>
      </c>
      <c r="E947" t="s">
        <v>46</v>
      </c>
      <c r="F947">
        <v>92284</v>
      </c>
      <c r="G947">
        <f>+YEAR(Tabla__192.168.1.8_POSEIDONSQL_APPFVT_01_SQLFacturasRendidas[[#This Row],[f_facturacion]])</f>
        <v>2018</v>
      </c>
      <c r="H94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947">
        <f>+IF(Tabla__192.168.1.8_POSEIDONSQL_APPFVT_01_SQLFacturasRendidas[[#This Row],[epc_nombre]]="RENDIDA",1,0)</f>
        <v>1</v>
      </c>
      <c r="J947">
        <f>+IF(Tabla__192.168.1.8_POSEIDONSQL_APPFVT_01_SQLFacturasRendidas[[#This Row],[usu_codigo]]="","",1)</f>
        <v>1</v>
      </c>
    </row>
    <row r="948" spans="1:10" x14ac:dyDescent="0.25">
      <c r="A948">
        <v>1</v>
      </c>
      <c r="B948">
        <v>3</v>
      </c>
      <c r="C948" t="s">
        <v>81</v>
      </c>
      <c r="D948" t="s">
        <v>15</v>
      </c>
      <c r="E948" t="s">
        <v>46</v>
      </c>
      <c r="F948">
        <v>92325</v>
      </c>
      <c r="G948">
        <f>+YEAR(Tabla__192.168.1.8_POSEIDONSQL_APPFVT_01_SQLFacturasRendidas[[#This Row],[f_facturacion]])</f>
        <v>2018</v>
      </c>
      <c r="H94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948">
        <f>+IF(Tabla__192.168.1.8_POSEIDONSQL_APPFVT_01_SQLFacturasRendidas[[#This Row],[epc_nombre]]="RENDIDA",1,0)</f>
        <v>1</v>
      </c>
      <c r="J948">
        <f>+IF(Tabla__192.168.1.8_POSEIDONSQL_APPFVT_01_SQLFacturasRendidas[[#This Row],[usu_codigo]]="","",1)</f>
        <v>1</v>
      </c>
    </row>
    <row r="949" spans="1:10" x14ac:dyDescent="0.25">
      <c r="A949">
        <v>1</v>
      </c>
      <c r="B949">
        <v>3</v>
      </c>
      <c r="C949" t="s">
        <v>81</v>
      </c>
      <c r="D949" t="s">
        <v>15</v>
      </c>
      <c r="E949" t="s">
        <v>47</v>
      </c>
      <c r="F949">
        <v>92387</v>
      </c>
      <c r="G949">
        <f>+YEAR(Tabla__192.168.1.8_POSEIDONSQL_APPFVT_01_SQLFacturasRendidas[[#This Row],[f_facturacion]])</f>
        <v>2018</v>
      </c>
      <c r="H94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949">
        <f>+IF(Tabla__192.168.1.8_POSEIDONSQL_APPFVT_01_SQLFacturasRendidas[[#This Row],[epc_nombre]]="RENDIDA",1,0)</f>
        <v>1</v>
      </c>
      <c r="J949">
        <f>+IF(Tabla__192.168.1.8_POSEIDONSQL_APPFVT_01_SQLFacturasRendidas[[#This Row],[usu_codigo]]="","",1)</f>
        <v>1</v>
      </c>
    </row>
    <row r="950" spans="1:10" x14ac:dyDescent="0.25">
      <c r="A950">
        <v>1</v>
      </c>
      <c r="B950">
        <v>3</v>
      </c>
      <c r="C950" t="s">
        <v>81</v>
      </c>
      <c r="D950" t="s">
        <v>15</v>
      </c>
      <c r="E950" t="s">
        <v>47</v>
      </c>
      <c r="F950">
        <v>92388</v>
      </c>
      <c r="G950">
        <f>+YEAR(Tabla__192.168.1.8_POSEIDONSQL_APPFVT_01_SQLFacturasRendidas[[#This Row],[f_facturacion]])</f>
        <v>2018</v>
      </c>
      <c r="H95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950">
        <f>+IF(Tabla__192.168.1.8_POSEIDONSQL_APPFVT_01_SQLFacturasRendidas[[#This Row],[epc_nombre]]="RENDIDA",1,0)</f>
        <v>1</v>
      </c>
      <c r="J950">
        <f>+IF(Tabla__192.168.1.8_POSEIDONSQL_APPFVT_01_SQLFacturasRendidas[[#This Row],[usu_codigo]]="","",1)</f>
        <v>1</v>
      </c>
    </row>
    <row r="951" spans="1:10" x14ac:dyDescent="0.25">
      <c r="A951">
        <v>1</v>
      </c>
      <c r="B951">
        <v>3</v>
      </c>
      <c r="C951" t="s">
        <v>81</v>
      </c>
      <c r="D951" t="s">
        <v>15</v>
      </c>
      <c r="E951" t="s">
        <v>47</v>
      </c>
      <c r="F951">
        <v>92389</v>
      </c>
      <c r="G951">
        <f>+YEAR(Tabla__192.168.1.8_POSEIDONSQL_APPFVT_01_SQLFacturasRendidas[[#This Row],[f_facturacion]])</f>
        <v>2018</v>
      </c>
      <c r="H95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951">
        <f>+IF(Tabla__192.168.1.8_POSEIDONSQL_APPFVT_01_SQLFacturasRendidas[[#This Row],[epc_nombre]]="RENDIDA",1,0)</f>
        <v>1</v>
      </c>
      <c r="J951">
        <f>+IF(Tabla__192.168.1.8_POSEIDONSQL_APPFVT_01_SQLFacturasRendidas[[#This Row],[usu_codigo]]="","",1)</f>
        <v>1</v>
      </c>
    </row>
    <row r="952" spans="1:10" x14ac:dyDescent="0.25">
      <c r="A952">
        <v>1</v>
      </c>
      <c r="B952">
        <v>3</v>
      </c>
      <c r="C952" t="s">
        <v>81</v>
      </c>
      <c r="D952" t="s">
        <v>15</v>
      </c>
      <c r="E952" t="s">
        <v>47</v>
      </c>
      <c r="F952">
        <v>92390</v>
      </c>
      <c r="G952">
        <f>+YEAR(Tabla__192.168.1.8_POSEIDONSQL_APPFVT_01_SQLFacturasRendidas[[#This Row],[f_facturacion]])</f>
        <v>2018</v>
      </c>
      <c r="H95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952">
        <f>+IF(Tabla__192.168.1.8_POSEIDONSQL_APPFVT_01_SQLFacturasRendidas[[#This Row],[epc_nombre]]="RENDIDA",1,0)</f>
        <v>1</v>
      </c>
      <c r="J952">
        <f>+IF(Tabla__192.168.1.8_POSEIDONSQL_APPFVT_01_SQLFacturasRendidas[[#This Row],[usu_codigo]]="","",1)</f>
        <v>1</v>
      </c>
    </row>
    <row r="953" spans="1:10" x14ac:dyDescent="0.25">
      <c r="A953">
        <v>1</v>
      </c>
      <c r="B953">
        <v>3</v>
      </c>
      <c r="C953" t="s">
        <v>81</v>
      </c>
      <c r="D953" t="s">
        <v>15</v>
      </c>
      <c r="E953" t="s">
        <v>47</v>
      </c>
      <c r="F953">
        <v>92391</v>
      </c>
      <c r="G953">
        <f>+YEAR(Tabla__192.168.1.8_POSEIDONSQL_APPFVT_01_SQLFacturasRendidas[[#This Row],[f_facturacion]])</f>
        <v>2018</v>
      </c>
      <c r="H95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953">
        <f>+IF(Tabla__192.168.1.8_POSEIDONSQL_APPFVT_01_SQLFacturasRendidas[[#This Row],[epc_nombre]]="RENDIDA",1,0)</f>
        <v>1</v>
      </c>
      <c r="J953">
        <f>+IF(Tabla__192.168.1.8_POSEIDONSQL_APPFVT_01_SQLFacturasRendidas[[#This Row],[usu_codigo]]="","",1)</f>
        <v>1</v>
      </c>
    </row>
    <row r="954" spans="1:10" x14ac:dyDescent="0.25">
      <c r="A954">
        <v>1</v>
      </c>
      <c r="B954">
        <v>3</v>
      </c>
      <c r="C954" t="s">
        <v>81</v>
      </c>
      <c r="D954" t="s">
        <v>15</v>
      </c>
      <c r="E954" t="s">
        <v>47</v>
      </c>
      <c r="F954">
        <v>92392</v>
      </c>
      <c r="G954">
        <f>+YEAR(Tabla__192.168.1.8_POSEIDONSQL_APPFVT_01_SQLFacturasRendidas[[#This Row],[f_facturacion]])</f>
        <v>2018</v>
      </c>
      <c r="H95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954">
        <f>+IF(Tabla__192.168.1.8_POSEIDONSQL_APPFVT_01_SQLFacturasRendidas[[#This Row],[epc_nombre]]="RENDIDA",1,0)</f>
        <v>1</v>
      </c>
      <c r="J954">
        <f>+IF(Tabla__192.168.1.8_POSEIDONSQL_APPFVT_01_SQLFacturasRendidas[[#This Row],[usu_codigo]]="","",1)</f>
        <v>1</v>
      </c>
    </row>
    <row r="955" spans="1:10" x14ac:dyDescent="0.25">
      <c r="A955">
        <v>1</v>
      </c>
      <c r="B955">
        <v>3</v>
      </c>
      <c r="C955" t="s">
        <v>81</v>
      </c>
      <c r="D955" t="s">
        <v>15</v>
      </c>
      <c r="E955" t="s">
        <v>47</v>
      </c>
      <c r="F955">
        <v>92393</v>
      </c>
      <c r="G955">
        <f>+YEAR(Tabla__192.168.1.8_POSEIDONSQL_APPFVT_01_SQLFacturasRendidas[[#This Row],[f_facturacion]])</f>
        <v>2018</v>
      </c>
      <c r="H95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955">
        <f>+IF(Tabla__192.168.1.8_POSEIDONSQL_APPFVT_01_SQLFacturasRendidas[[#This Row],[epc_nombre]]="RENDIDA",1,0)</f>
        <v>1</v>
      </c>
      <c r="J955">
        <f>+IF(Tabla__192.168.1.8_POSEIDONSQL_APPFVT_01_SQLFacturasRendidas[[#This Row],[usu_codigo]]="","",1)</f>
        <v>1</v>
      </c>
    </row>
    <row r="956" spans="1:10" x14ac:dyDescent="0.25">
      <c r="A956">
        <v>1</v>
      </c>
      <c r="B956">
        <v>3</v>
      </c>
      <c r="C956" t="s">
        <v>81</v>
      </c>
      <c r="D956" t="s">
        <v>15</v>
      </c>
      <c r="E956" t="s">
        <v>47</v>
      </c>
      <c r="F956">
        <v>92394</v>
      </c>
      <c r="G956">
        <f>+YEAR(Tabla__192.168.1.8_POSEIDONSQL_APPFVT_01_SQLFacturasRendidas[[#This Row],[f_facturacion]])</f>
        <v>2018</v>
      </c>
      <c r="H95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956">
        <f>+IF(Tabla__192.168.1.8_POSEIDONSQL_APPFVT_01_SQLFacturasRendidas[[#This Row],[epc_nombre]]="RENDIDA",1,0)</f>
        <v>1</v>
      </c>
      <c r="J956">
        <f>+IF(Tabla__192.168.1.8_POSEIDONSQL_APPFVT_01_SQLFacturasRendidas[[#This Row],[usu_codigo]]="","",1)</f>
        <v>1</v>
      </c>
    </row>
    <row r="957" spans="1:10" x14ac:dyDescent="0.25">
      <c r="A957">
        <v>1</v>
      </c>
      <c r="B957">
        <v>3</v>
      </c>
      <c r="C957" t="s">
        <v>81</v>
      </c>
      <c r="D957" t="s">
        <v>15</v>
      </c>
      <c r="E957" t="s">
        <v>47</v>
      </c>
      <c r="F957">
        <v>92395</v>
      </c>
      <c r="G957">
        <f>+YEAR(Tabla__192.168.1.8_POSEIDONSQL_APPFVT_01_SQLFacturasRendidas[[#This Row],[f_facturacion]])</f>
        <v>2018</v>
      </c>
      <c r="H95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957">
        <f>+IF(Tabla__192.168.1.8_POSEIDONSQL_APPFVT_01_SQLFacturasRendidas[[#This Row],[epc_nombre]]="RENDIDA",1,0)</f>
        <v>1</v>
      </c>
      <c r="J957">
        <f>+IF(Tabla__192.168.1.8_POSEIDONSQL_APPFVT_01_SQLFacturasRendidas[[#This Row],[usu_codigo]]="","",1)</f>
        <v>1</v>
      </c>
    </row>
    <row r="958" spans="1:10" x14ac:dyDescent="0.25">
      <c r="A958">
        <v>1</v>
      </c>
      <c r="B958">
        <v>3</v>
      </c>
      <c r="C958" t="s">
        <v>81</v>
      </c>
      <c r="D958" t="s">
        <v>15</v>
      </c>
      <c r="E958" t="s">
        <v>47</v>
      </c>
      <c r="F958">
        <v>92423</v>
      </c>
      <c r="G958">
        <f>+YEAR(Tabla__192.168.1.8_POSEIDONSQL_APPFVT_01_SQLFacturasRendidas[[#This Row],[f_facturacion]])</f>
        <v>2018</v>
      </c>
      <c r="H95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958">
        <f>+IF(Tabla__192.168.1.8_POSEIDONSQL_APPFVT_01_SQLFacturasRendidas[[#This Row],[epc_nombre]]="RENDIDA",1,0)</f>
        <v>1</v>
      </c>
      <c r="J958">
        <f>+IF(Tabla__192.168.1.8_POSEIDONSQL_APPFVT_01_SQLFacturasRendidas[[#This Row],[usu_codigo]]="","",1)</f>
        <v>1</v>
      </c>
    </row>
    <row r="959" spans="1:10" x14ac:dyDescent="0.25">
      <c r="A959">
        <v>1</v>
      </c>
      <c r="B959">
        <v>3</v>
      </c>
      <c r="C959" t="s">
        <v>81</v>
      </c>
      <c r="D959" t="s">
        <v>15</v>
      </c>
      <c r="E959" t="s">
        <v>49</v>
      </c>
      <c r="F959">
        <v>92574</v>
      </c>
      <c r="G959">
        <f>+YEAR(Tabla__192.168.1.8_POSEIDONSQL_APPFVT_01_SQLFacturasRendidas[[#This Row],[f_facturacion]])</f>
        <v>2018</v>
      </c>
      <c r="H95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959">
        <f>+IF(Tabla__192.168.1.8_POSEIDONSQL_APPFVT_01_SQLFacturasRendidas[[#This Row],[epc_nombre]]="RENDIDA",1,0)</f>
        <v>1</v>
      </c>
      <c r="J959">
        <f>+IF(Tabla__192.168.1.8_POSEIDONSQL_APPFVT_01_SQLFacturasRendidas[[#This Row],[usu_codigo]]="","",1)</f>
        <v>1</v>
      </c>
    </row>
    <row r="960" spans="1:10" x14ac:dyDescent="0.25">
      <c r="A960">
        <v>1</v>
      </c>
      <c r="B960">
        <v>3</v>
      </c>
      <c r="C960" t="s">
        <v>81</v>
      </c>
      <c r="D960" t="s">
        <v>15</v>
      </c>
      <c r="E960" t="s">
        <v>49</v>
      </c>
      <c r="F960">
        <v>92575</v>
      </c>
      <c r="G960">
        <f>+YEAR(Tabla__192.168.1.8_POSEIDONSQL_APPFVT_01_SQLFacturasRendidas[[#This Row],[f_facturacion]])</f>
        <v>2018</v>
      </c>
      <c r="H96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960">
        <f>+IF(Tabla__192.168.1.8_POSEIDONSQL_APPFVT_01_SQLFacturasRendidas[[#This Row],[epc_nombre]]="RENDIDA",1,0)</f>
        <v>1</v>
      </c>
      <c r="J960">
        <f>+IF(Tabla__192.168.1.8_POSEIDONSQL_APPFVT_01_SQLFacturasRendidas[[#This Row],[usu_codigo]]="","",1)</f>
        <v>1</v>
      </c>
    </row>
    <row r="961" spans="1:10" x14ac:dyDescent="0.25">
      <c r="A961">
        <v>1</v>
      </c>
      <c r="B961">
        <v>3</v>
      </c>
      <c r="C961" t="s">
        <v>11</v>
      </c>
      <c r="D961" t="s">
        <v>15</v>
      </c>
      <c r="E961" t="s">
        <v>60</v>
      </c>
      <c r="F961">
        <v>4061</v>
      </c>
      <c r="G961">
        <f>+YEAR(Tabla__192.168.1.8_POSEIDONSQL_APPFVT_01_SQLFacturasRendidas[[#This Row],[f_facturacion]])</f>
        <v>2018</v>
      </c>
      <c r="H96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961">
        <f>+IF(Tabla__192.168.1.8_POSEIDONSQL_APPFVT_01_SQLFacturasRendidas[[#This Row],[epc_nombre]]="RENDIDA",1,0)</f>
        <v>1</v>
      </c>
      <c r="J961">
        <f>+IF(Tabla__192.168.1.8_POSEIDONSQL_APPFVT_01_SQLFacturasRendidas[[#This Row],[usu_codigo]]="","",1)</f>
        <v>1</v>
      </c>
    </row>
    <row r="962" spans="1:10" x14ac:dyDescent="0.25">
      <c r="A962">
        <v>1</v>
      </c>
      <c r="B962">
        <v>3</v>
      </c>
      <c r="C962" t="s">
        <v>11</v>
      </c>
      <c r="D962" t="s">
        <v>15</v>
      </c>
      <c r="E962" t="s">
        <v>60</v>
      </c>
      <c r="F962">
        <v>4062</v>
      </c>
      <c r="G962">
        <f>+YEAR(Tabla__192.168.1.8_POSEIDONSQL_APPFVT_01_SQLFacturasRendidas[[#This Row],[f_facturacion]])</f>
        <v>2018</v>
      </c>
      <c r="H96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962">
        <f>+IF(Tabla__192.168.1.8_POSEIDONSQL_APPFVT_01_SQLFacturasRendidas[[#This Row],[epc_nombre]]="RENDIDA",1,0)</f>
        <v>1</v>
      </c>
      <c r="J962">
        <f>+IF(Tabla__192.168.1.8_POSEIDONSQL_APPFVT_01_SQLFacturasRendidas[[#This Row],[usu_codigo]]="","",1)</f>
        <v>1</v>
      </c>
    </row>
    <row r="963" spans="1:10" x14ac:dyDescent="0.25">
      <c r="A963">
        <v>1</v>
      </c>
      <c r="B963">
        <v>3</v>
      </c>
      <c r="C963" t="s">
        <v>11</v>
      </c>
      <c r="D963" t="s">
        <v>15</v>
      </c>
      <c r="E963" t="s">
        <v>60</v>
      </c>
      <c r="F963">
        <v>4063</v>
      </c>
      <c r="G963">
        <f>+YEAR(Tabla__192.168.1.8_POSEIDONSQL_APPFVT_01_SQLFacturasRendidas[[#This Row],[f_facturacion]])</f>
        <v>2018</v>
      </c>
      <c r="H96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963">
        <f>+IF(Tabla__192.168.1.8_POSEIDONSQL_APPFVT_01_SQLFacturasRendidas[[#This Row],[epc_nombre]]="RENDIDA",1,0)</f>
        <v>1</v>
      </c>
      <c r="J963">
        <f>+IF(Tabla__192.168.1.8_POSEIDONSQL_APPFVT_01_SQLFacturasRendidas[[#This Row],[usu_codigo]]="","",1)</f>
        <v>1</v>
      </c>
    </row>
    <row r="964" spans="1:10" x14ac:dyDescent="0.25">
      <c r="A964">
        <v>1</v>
      </c>
      <c r="B964">
        <v>3</v>
      </c>
      <c r="C964" t="s">
        <v>11</v>
      </c>
      <c r="D964" t="s">
        <v>15</v>
      </c>
      <c r="E964" t="s">
        <v>60</v>
      </c>
      <c r="F964">
        <v>4064</v>
      </c>
      <c r="G964">
        <f>+YEAR(Tabla__192.168.1.8_POSEIDONSQL_APPFVT_01_SQLFacturasRendidas[[#This Row],[f_facturacion]])</f>
        <v>2018</v>
      </c>
      <c r="H96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964">
        <f>+IF(Tabla__192.168.1.8_POSEIDONSQL_APPFVT_01_SQLFacturasRendidas[[#This Row],[epc_nombre]]="RENDIDA",1,0)</f>
        <v>1</v>
      </c>
      <c r="J964">
        <f>+IF(Tabla__192.168.1.8_POSEIDONSQL_APPFVT_01_SQLFacturasRendidas[[#This Row],[usu_codigo]]="","",1)</f>
        <v>1</v>
      </c>
    </row>
    <row r="965" spans="1:10" x14ac:dyDescent="0.25">
      <c r="A965">
        <v>1</v>
      </c>
      <c r="B965">
        <v>3</v>
      </c>
      <c r="C965" t="s">
        <v>11</v>
      </c>
      <c r="D965" t="s">
        <v>15</v>
      </c>
      <c r="E965" t="s">
        <v>35</v>
      </c>
      <c r="F965">
        <v>4074</v>
      </c>
      <c r="G965">
        <f>+YEAR(Tabla__192.168.1.8_POSEIDONSQL_APPFVT_01_SQLFacturasRendidas[[#This Row],[f_facturacion]])</f>
        <v>2018</v>
      </c>
      <c r="H96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965">
        <f>+IF(Tabla__192.168.1.8_POSEIDONSQL_APPFVT_01_SQLFacturasRendidas[[#This Row],[epc_nombre]]="RENDIDA",1,0)</f>
        <v>1</v>
      </c>
      <c r="J965">
        <f>+IF(Tabla__192.168.1.8_POSEIDONSQL_APPFVT_01_SQLFacturasRendidas[[#This Row],[usu_codigo]]="","",1)</f>
        <v>1</v>
      </c>
    </row>
    <row r="966" spans="1:10" x14ac:dyDescent="0.25">
      <c r="A966">
        <v>1</v>
      </c>
      <c r="B966">
        <v>3</v>
      </c>
      <c r="C966" t="s">
        <v>11</v>
      </c>
      <c r="D966" t="s">
        <v>15</v>
      </c>
      <c r="E966" t="s">
        <v>60</v>
      </c>
      <c r="F966">
        <v>4078</v>
      </c>
      <c r="G966">
        <f>+YEAR(Tabla__192.168.1.8_POSEIDONSQL_APPFVT_01_SQLFacturasRendidas[[#This Row],[f_facturacion]])</f>
        <v>2018</v>
      </c>
      <c r="H96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966">
        <f>+IF(Tabla__192.168.1.8_POSEIDONSQL_APPFVT_01_SQLFacturasRendidas[[#This Row],[epc_nombre]]="RENDIDA",1,0)</f>
        <v>1</v>
      </c>
      <c r="J966">
        <f>+IF(Tabla__192.168.1.8_POSEIDONSQL_APPFVT_01_SQLFacturasRendidas[[#This Row],[usu_codigo]]="","",1)</f>
        <v>1</v>
      </c>
    </row>
    <row r="967" spans="1:10" x14ac:dyDescent="0.25">
      <c r="A967">
        <v>1</v>
      </c>
      <c r="B967">
        <v>3</v>
      </c>
      <c r="C967" t="s">
        <v>11</v>
      </c>
      <c r="D967" t="s">
        <v>15</v>
      </c>
      <c r="E967" t="s">
        <v>60</v>
      </c>
      <c r="F967">
        <v>4079</v>
      </c>
      <c r="G967">
        <f>+YEAR(Tabla__192.168.1.8_POSEIDONSQL_APPFVT_01_SQLFacturasRendidas[[#This Row],[f_facturacion]])</f>
        <v>2018</v>
      </c>
      <c r="H96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967">
        <f>+IF(Tabla__192.168.1.8_POSEIDONSQL_APPFVT_01_SQLFacturasRendidas[[#This Row],[epc_nombre]]="RENDIDA",1,0)</f>
        <v>1</v>
      </c>
      <c r="J967">
        <f>+IF(Tabla__192.168.1.8_POSEIDONSQL_APPFVT_01_SQLFacturasRendidas[[#This Row],[usu_codigo]]="","",1)</f>
        <v>1</v>
      </c>
    </row>
    <row r="968" spans="1:10" x14ac:dyDescent="0.25">
      <c r="A968">
        <v>1</v>
      </c>
      <c r="B968">
        <v>3</v>
      </c>
      <c r="C968" t="s">
        <v>11</v>
      </c>
      <c r="D968" t="s">
        <v>15</v>
      </c>
      <c r="E968" t="s">
        <v>60</v>
      </c>
      <c r="F968">
        <v>4080</v>
      </c>
      <c r="G968">
        <f>+YEAR(Tabla__192.168.1.8_POSEIDONSQL_APPFVT_01_SQLFacturasRendidas[[#This Row],[f_facturacion]])</f>
        <v>2018</v>
      </c>
      <c r="H96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968">
        <f>+IF(Tabla__192.168.1.8_POSEIDONSQL_APPFVT_01_SQLFacturasRendidas[[#This Row],[epc_nombre]]="RENDIDA",1,0)</f>
        <v>1</v>
      </c>
      <c r="J968">
        <f>+IF(Tabla__192.168.1.8_POSEIDONSQL_APPFVT_01_SQLFacturasRendidas[[#This Row],[usu_codigo]]="","",1)</f>
        <v>1</v>
      </c>
    </row>
    <row r="969" spans="1:10" x14ac:dyDescent="0.25">
      <c r="A969">
        <v>1</v>
      </c>
      <c r="B969">
        <v>3</v>
      </c>
      <c r="C969" t="s">
        <v>11</v>
      </c>
      <c r="D969" t="s">
        <v>15</v>
      </c>
      <c r="E969" t="s">
        <v>60</v>
      </c>
      <c r="F969">
        <v>4081</v>
      </c>
      <c r="G969">
        <f>+YEAR(Tabla__192.168.1.8_POSEIDONSQL_APPFVT_01_SQLFacturasRendidas[[#This Row],[f_facturacion]])</f>
        <v>2018</v>
      </c>
      <c r="H96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969">
        <f>+IF(Tabla__192.168.1.8_POSEIDONSQL_APPFVT_01_SQLFacturasRendidas[[#This Row],[epc_nombre]]="RENDIDA",1,0)</f>
        <v>1</v>
      </c>
      <c r="J969">
        <f>+IF(Tabla__192.168.1.8_POSEIDONSQL_APPFVT_01_SQLFacturasRendidas[[#This Row],[usu_codigo]]="","",1)</f>
        <v>1</v>
      </c>
    </row>
    <row r="970" spans="1:10" x14ac:dyDescent="0.25">
      <c r="A970">
        <v>1</v>
      </c>
      <c r="B970">
        <v>3</v>
      </c>
      <c r="C970" t="s">
        <v>11</v>
      </c>
      <c r="D970" t="s">
        <v>15</v>
      </c>
      <c r="E970" t="s">
        <v>60</v>
      </c>
      <c r="F970">
        <v>4082</v>
      </c>
      <c r="G970">
        <f>+YEAR(Tabla__192.168.1.8_POSEIDONSQL_APPFVT_01_SQLFacturasRendidas[[#This Row],[f_facturacion]])</f>
        <v>2018</v>
      </c>
      <c r="H97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970">
        <f>+IF(Tabla__192.168.1.8_POSEIDONSQL_APPFVT_01_SQLFacturasRendidas[[#This Row],[epc_nombre]]="RENDIDA",1,0)</f>
        <v>1</v>
      </c>
      <c r="J970">
        <f>+IF(Tabla__192.168.1.8_POSEIDONSQL_APPFVT_01_SQLFacturasRendidas[[#This Row],[usu_codigo]]="","",1)</f>
        <v>1</v>
      </c>
    </row>
    <row r="971" spans="1:10" x14ac:dyDescent="0.25">
      <c r="A971">
        <v>1</v>
      </c>
      <c r="B971">
        <v>3</v>
      </c>
      <c r="C971" t="s">
        <v>11</v>
      </c>
      <c r="D971" t="s">
        <v>15</v>
      </c>
      <c r="E971" t="s">
        <v>60</v>
      </c>
      <c r="F971">
        <v>4083</v>
      </c>
      <c r="G971">
        <f>+YEAR(Tabla__192.168.1.8_POSEIDONSQL_APPFVT_01_SQLFacturasRendidas[[#This Row],[f_facturacion]])</f>
        <v>2018</v>
      </c>
      <c r="H97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971">
        <f>+IF(Tabla__192.168.1.8_POSEIDONSQL_APPFVT_01_SQLFacturasRendidas[[#This Row],[epc_nombre]]="RENDIDA",1,0)</f>
        <v>1</v>
      </c>
      <c r="J971">
        <f>+IF(Tabla__192.168.1.8_POSEIDONSQL_APPFVT_01_SQLFacturasRendidas[[#This Row],[usu_codigo]]="","",1)</f>
        <v>1</v>
      </c>
    </row>
    <row r="972" spans="1:10" x14ac:dyDescent="0.25">
      <c r="A972">
        <v>1</v>
      </c>
      <c r="B972">
        <v>3</v>
      </c>
      <c r="C972" t="s">
        <v>11</v>
      </c>
      <c r="D972" t="s">
        <v>15</v>
      </c>
      <c r="E972" t="s">
        <v>60</v>
      </c>
      <c r="F972">
        <v>4084</v>
      </c>
      <c r="G972">
        <f>+YEAR(Tabla__192.168.1.8_POSEIDONSQL_APPFVT_01_SQLFacturasRendidas[[#This Row],[f_facturacion]])</f>
        <v>2018</v>
      </c>
      <c r="H97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972">
        <f>+IF(Tabla__192.168.1.8_POSEIDONSQL_APPFVT_01_SQLFacturasRendidas[[#This Row],[epc_nombre]]="RENDIDA",1,0)</f>
        <v>1</v>
      </c>
      <c r="J972">
        <f>+IF(Tabla__192.168.1.8_POSEIDONSQL_APPFVT_01_SQLFacturasRendidas[[#This Row],[usu_codigo]]="","",1)</f>
        <v>1</v>
      </c>
    </row>
    <row r="973" spans="1:10" x14ac:dyDescent="0.25">
      <c r="A973">
        <v>1</v>
      </c>
      <c r="B973">
        <v>3</v>
      </c>
      <c r="C973" t="s">
        <v>11</v>
      </c>
      <c r="D973" t="s">
        <v>15</v>
      </c>
      <c r="E973" t="s">
        <v>60</v>
      </c>
      <c r="F973">
        <v>4085</v>
      </c>
      <c r="G973">
        <f>+YEAR(Tabla__192.168.1.8_POSEIDONSQL_APPFVT_01_SQLFacturasRendidas[[#This Row],[f_facturacion]])</f>
        <v>2018</v>
      </c>
      <c r="H97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973">
        <f>+IF(Tabla__192.168.1.8_POSEIDONSQL_APPFVT_01_SQLFacturasRendidas[[#This Row],[epc_nombre]]="RENDIDA",1,0)</f>
        <v>1</v>
      </c>
      <c r="J973">
        <f>+IF(Tabla__192.168.1.8_POSEIDONSQL_APPFVT_01_SQLFacturasRendidas[[#This Row],[usu_codigo]]="","",1)</f>
        <v>1</v>
      </c>
    </row>
    <row r="974" spans="1:10" x14ac:dyDescent="0.25">
      <c r="A974">
        <v>1</v>
      </c>
      <c r="B974">
        <v>3</v>
      </c>
      <c r="C974" t="s">
        <v>11</v>
      </c>
      <c r="D974" t="s">
        <v>15</v>
      </c>
      <c r="E974" t="s">
        <v>61</v>
      </c>
      <c r="F974">
        <v>4093</v>
      </c>
      <c r="G974">
        <f>+YEAR(Tabla__192.168.1.8_POSEIDONSQL_APPFVT_01_SQLFacturasRendidas[[#This Row],[f_facturacion]])</f>
        <v>2018</v>
      </c>
      <c r="H97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974">
        <f>+IF(Tabla__192.168.1.8_POSEIDONSQL_APPFVT_01_SQLFacturasRendidas[[#This Row],[epc_nombre]]="RENDIDA",1,0)</f>
        <v>1</v>
      </c>
      <c r="J974">
        <f>+IF(Tabla__192.168.1.8_POSEIDONSQL_APPFVT_01_SQLFacturasRendidas[[#This Row],[usu_codigo]]="","",1)</f>
        <v>1</v>
      </c>
    </row>
    <row r="975" spans="1:10" x14ac:dyDescent="0.25">
      <c r="A975">
        <v>1</v>
      </c>
      <c r="B975">
        <v>3</v>
      </c>
      <c r="C975" t="s">
        <v>11</v>
      </c>
      <c r="D975" t="s">
        <v>15</v>
      </c>
      <c r="E975" t="s">
        <v>61</v>
      </c>
      <c r="F975">
        <v>4094</v>
      </c>
      <c r="G975">
        <f>+YEAR(Tabla__192.168.1.8_POSEIDONSQL_APPFVT_01_SQLFacturasRendidas[[#This Row],[f_facturacion]])</f>
        <v>2018</v>
      </c>
      <c r="H97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975">
        <f>+IF(Tabla__192.168.1.8_POSEIDONSQL_APPFVT_01_SQLFacturasRendidas[[#This Row],[epc_nombre]]="RENDIDA",1,0)</f>
        <v>1</v>
      </c>
      <c r="J975">
        <f>+IF(Tabla__192.168.1.8_POSEIDONSQL_APPFVT_01_SQLFacturasRendidas[[#This Row],[usu_codigo]]="","",1)</f>
        <v>1</v>
      </c>
    </row>
    <row r="976" spans="1:10" x14ac:dyDescent="0.25">
      <c r="A976">
        <v>1</v>
      </c>
      <c r="B976">
        <v>3</v>
      </c>
      <c r="C976" t="s">
        <v>11</v>
      </c>
      <c r="D976" t="s">
        <v>15</v>
      </c>
      <c r="E976" t="s">
        <v>61</v>
      </c>
      <c r="F976">
        <v>4095</v>
      </c>
      <c r="G976">
        <f>+YEAR(Tabla__192.168.1.8_POSEIDONSQL_APPFVT_01_SQLFacturasRendidas[[#This Row],[f_facturacion]])</f>
        <v>2018</v>
      </c>
      <c r="H97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976">
        <f>+IF(Tabla__192.168.1.8_POSEIDONSQL_APPFVT_01_SQLFacturasRendidas[[#This Row],[epc_nombre]]="RENDIDA",1,0)</f>
        <v>1</v>
      </c>
      <c r="J976">
        <f>+IF(Tabla__192.168.1.8_POSEIDONSQL_APPFVT_01_SQLFacturasRendidas[[#This Row],[usu_codigo]]="","",1)</f>
        <v>1</v>
      </c>
    </row>
    <row r="977" spans="1:10" x14ac:dyDescent="0.25">
      <c r="A977">
        <v>1</v>
      </c>
      <c r="B977">
        <v>3</v>
      </c>
      <c r="C977" t="s">
        <v>11</v>
      </c>
      <c r="D977" t="s">
        <v>15</v>
      </c>
      <c r="E977" t="s">
        <v>61</v>
      </c>
      <c r="F977">
        <v>4096</v>
      </c>
      <c r="G977">
        <f>+YEAR(Tabla__192.168.1.8_POSEIDONSQL_APPFVT_01_SQLFacturasRendidas[[#This Row],[f_facturacion]])</f>
        <v>2018</v>
      </c>
      <c r="H97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977">
        <f>+IF(Tabla__192.168.1.8_POSEIDONSQL_APPFVT_01_SQLFacturasRendidas[[#This Row],[epc_nombre]]="RENDIDA",1,0)</f>
        <v>1</v>
      </c>
      <c r="J977">
        <f>+IF(Tabla__192.168.1.8_POSEIDONSQL_APPFVT_01_SQLFacturasRendidas[[#This Row],[usu_codigo]]="","",1)</f>
        <v>1</v>
      </c>
    </row>
    <row r="978" spans="1:10" x14ac:dyDescent="0.25">
      <c r="A978">
        <v>1</v>
      </c>
      <c r="B978">
        <v>3</v>
      </c>
      <c r="C978" t="s">
        <v>11</v>
      </c>
      <c r="D978" t="s">
        <v>15</v>
      </c>
      <c r="E978" t="s">
        <v>61</v>
      </c>
      <c r="F978">
        <v>4097</v>
      </c>
      <c r="G978">
        <f>+YEAR(Tabla__192.168.1.8_POSEIDONSQL_APPFVT_01_SQLFacturasRendidas[[#This Row],[f_facturacion]])</f>
        <v>2018</v>
      </c>
      <c r="H97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978">
        <f>+IF(Tabla__192.168.1.8_POSEIDONSQL_APPFVT_01_SQLFacturasRendidas[[#This Row],[epc_nombre]]="RENDIDA",1,0)</f>
        <v>1</v>
      </c>
      <c r="J978">
        <f>+IF(Tabla__192.168.1.8_POSEIDONSQL_APPFVT_01_SQLFacturasRendidas[[#This Row],[usu_codigo]]="","",1)</f>
        <v>1</v>
      </c>
    </row>
    <row r="979" spans="1:10" x14ac:dyDescent="0.25">
      <c r="A979">
        <v>1</v>
      </c>
      <c r="B979">
        <v>3</v>
      </c>
      <c r="C979" t="s">
        <v>11</v>
      </c>
      <c r="D979" t="s">
        <v>15</v>
      </c>
      <c r="E979" t="s">
        <v>61</v>
      </c>
      <c r="F979">
        <v>4098</v>
      </c>
      <c r="G979">
        <f>+YEAR(Tabla__192.168.1.8_POSEIDONSQL_APPFVT_01_SQLFacturasRendidas[[#This Row],[f_facturacion]])</f>
        <v>2018</v>
      </c>
      <c r="H97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979">
        <f>+IF(Tabla__192.168.1.8_POSEIDONSQL_APPFVT_01_SQLFacturasRendidas[[#This Row],[epc_nombre]]="RENDIDA",1,0)</f>
        <v>1</v>
      </c>
      <c r="J979">
        <f>+IF(Tabla__192.168.1.8_POSEIDONSQL_APPFVT_01_SQLFacturasRendidas[[#This Row],[usu_codigo]]="","",1)</f>
        <v>1</v>
      </c>
    </row>
    <row r="980" spans="1:10" x14ac:dyDescent="0.25">
      <c r="A980">
        <v>1</v>
      </c>
      <c r="B980">
        <v>3</v>
      </c>
      <c r="C980" t="s">
        <v>11</v>
      </c>
      <c r="D980" t="s">
        <v>15</v>
      </c>
      <c r="E980" t="s">
        <v>61</v>
      </c>
      <c r="F980">
        <v>4099</v>
      </c>
      <c r="G980">
        <f>+YEAR(Tabla__192.168.1.8_POSEIDONSQL_APPFVT_01_SQLFacturasRendidas[[#This Row],[f_facturacion]])</f>
        <v>2018</v>
      </c>
      <c r="H98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980">
        <f>+IF(Tabla__192.168.1.8_POSEIDONSQL_APPFVT_01_SQLFacturasRendidas[[#This Row],[epc_nombre]]="RENDIDA",1,0)</f>
        <v>1</v>
      </c>
      <c r="J980">
        <f>+IF(Tabla__192.168.1.8_POSEIDONSQL_APPFVT_01_SQLFacturasRendidas[[#This Row],[usu_codigo]]="","",1)</f>
        <v>1</v>
      </c>
    </row>
    <row r="981" spans="1:10" x14ac:dyDescent="0.25">
      <c r="A981">
        <v>1</v>
      </c>
      <c r="B981">
        <v>3</v>
      </c>
      <c r="C981" t="s">
        <v>11</v>
      </c>
      <c r="D981" t="s">
        <v>15</v>
      </c>
      <c r="E981" t="s">
        <v>61</v>
      </c>
      <c r="F981">
        <v>4100</v>
      </c>
      <c r="G981">
        <f>+YEAR(Tabla__192.168.1.8_POSEIDONSQL_APPFVT_01_SQLFacturasRendidas[[#This Row],[f_facturacion]])</f>
        <v>2018</v>
      </c>
      <c r="H98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981">
        <f>+IF(Tabla__192.168.1.8_POSEIDONSQL_APPFVT_01_SQLFacturasRendidas[[#This Row],[epc_nombre]]="RENDIDA",1,0)</f>
        <v>1</v>
      </c>
      <c r="J981">
        <f>+IF(Tabla__192.168.1.8_POSEIDONSQL_APPFVT_01_SQLFacturasRendidas[[#This Row],[usu_codigo]]="","",1)</f>
        <v>1</v>
      </c>
    </row>
    <row r="982" spans="1:10" x14ac:dyDescent="0.25">
      <c r="A982">
        <v>1</v>
      </c>
      <c r="B982">
        <v>3</v>
      </c>
      <c r="C982" t="s">
        <v>11</v>
      </c>
      <c r="D982" t="s">
        <v>15</v>
      </c>
      <c r="E982" t="s">
        <v>61</v>
      </c>
      <c r="F982">
        <v>4102</v>
      </c>
      <c r="G982">
        <f>+YEAR(Tabla__192.168.1.8_POSEIDONSQL_APPFVT_01_SQLFacturasRendidas[[#This Row],[f_facturacion]])</f>
        <v>2018</v>
      </c>
      <c r="H98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982">
        <f>+IF(Tabla__192.168.1.8_POSEIDONSQL_APPFVT_01_SQLFacturasRendidas[[#This Row],[epc_nombre]]="RENDIDA",1,0)</f>
        <v>1</v>
      </c>
      <c r="J982">
        <f>+IF(Tabla__192.168.1.8_POSEIDONSQL_APPFVT_01_SQLFacturasRendidas[[#This Row],[usu_codigo]]="","",1)</f>
        <v>1</v>
      </c>
    </row>
    <row r="983" spans="1:10" x14ac:dyDescent="0.25">
      <c r="A983">
        <v>1</v>
      </c>
      <c r="B983">
        <v>3</v>
      </c>
      <c r="C983" t="s">
        <v>11</v>
      </c>
      <c r="D983" t="s">
        <v>15</v>
      </c>
      <c r="E983" t="s">
        <v>61</v>
      </c>
      <c r="F983">
        <v>4103</v>
      </c>
      <c r="G983">
        <f>+YEAR(Tabla__192.168.1.8_POSEIDONSQL_APPFVT_01_SQLFacturasRendidas[[#This Row],[f_facturacion]])</f>
        <v>2018</v>
      </c>
      <c r="H98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983">
        <f>+IF(Tabla__192.168.1.8_POSEIDONSQL_APPFVT_01_SQLFacturasRendidas[[#This Row],[epc_nombre]]="RENDIDA",1,0)</f>
        <v>1</v>
      </c>
      <c r="J983">
        <f>+IF(Tabla__192.168.1.8_POSEIDONSQL_APPFVT_01_SQLFacturasRendidas[[#This Row],[usu_codigo]]="","",1)</f>
        <v>1</v>
      </c>
    </row>
    <row r="984" spans="1:10" x14ac:dyDescent="0.25">
      <c r="A984">
        <v>1</v>
      </c>
      <c r="B984">
        <v>3</v>
      </c>
      <c r="C984" t="s">
        <v>11</v>
      </c>
      <c r="D984" t="s">
        <v>15</v>
      </c>
      <c r="E984" t="s">
        <v>61</v>
      </c>
      <c r="F984">
        <v>4104</v>
      </c>
      <c r="G984">
        <f>+YEAR(Tabla__192.168.1.8_POSEIDONSQL_APPFVT_01_SQLFacturasRendidas[[#This Row],[f_facturacion]])</f>
        <v>2018</v>
      </c>
      <c r="H98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984">
        <f>+IF(Tabla__192.168.1.8_POSEIDONSQL_APPFVT_01_SQLFacturasRendidas[[#This Row],[epc_nombre]]="RENDIDA",1,0)</f>
        <v>1</v>
      </c>
      <c r="J984">
        <f>+IF(Tabla__192.168.1.8_POSEIDONSQL_APPFVT_01_SQLFacturasRendidas[[#This Row],[usu_codigo]]="","",1)</f>
        <v>1</v>
      </c>
    </row>
    <row r="985" spans="1:10" x14ac:dyDescent="0.25">
      <c r="A985">
        <v>1</v>
      </c>
      <c r="B985">
        <v>3</v>
      </c>
      <c r="C985" t="s">
        <v>11</v>
      </c>
      <c r="D985" t="s">
        <v>15</v>
      </c>
      <c r="E985" t="s">
        <v>61</v>
      </c>
      <c r="F985">
        <v>4105</v>
      </c>
      <c r="G985">
        <f>+YEAR(Tabla__192.168.1.8_POSEIDONSQL_APPFVT_01_SQLFacturasRendidas[[#This Row],[f_facturacion]])</f>
        <v>2018</v>
      </c>
      <c r="H98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985">
        <f>+IF(Tabla__192.168.1.8_POSEIDONSQL_APPFVT_01_SQLFacturasRendidas[[#This Row],[epc_nombre]]="RENDIDA",1,0)</f>
        <v>1</v>
      </c>
      <c r="J985">
        <f>+IF(Tabla__192.168.1.8_POSEIDONSQL_APPFVT_01_SQLFacturasRendidas[[#This Row],[usu_codigo]]="","",1)</f>
        <v>1</v>
      </c>
    </row>
    <row r="986" spans="1:10" x14ac:dyDescent="0.25">
      <c r="A986">
        <v>1</v>
      </c>
      <c r="B986">
        <v>3</v>
      </c>
      <c r="C986" t="s">
        <v>11</v>
      </c>
      <c r="D986" t="s">
        <v>15</v>
      </c>
      <c r="E986" t="s">
        <v>61</v>
      </c>
      <c r="F986">
        <v>4106</v>
      </c>
      <c r="G986">
        <f>+YEAR(Tabla__192.168.1.8_POSEIDONSQL_APPFVT_01_SQLFacturasRendidas[[#This Row],[f_facturacion]])</f>
        <v>2018</v>
      </c>
      <c r="H98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986">
        <f>+IF(Tabla__192.168.1.8_POSEIDONSQL_APPFVT_01_SQLFacturasRendidas[[#This Row],[epc_nombre]]="RENDIDA",1,0)</f>
        <v>1</v>
      </c>
      <c r="J986">
        <f>+IF(Tabla__192.168.1.8_POSEIDONSQL_APPFVT_01_SQLFacturasRendidas[[#This Row],[usu_codigo]]="","",1)</f>
        <v>1</v>
      </c>
    </row>
    <row r="987" spans="1:10" x14ac:dyDescent="0.25">
      <c r="A987">
        <v>1</v>
      </c>
      <c r="B987">
        <v>3</v>
      </c>
      <c r="C987" t="s">
        <v>11</v>
      </c>
      <c r="D987" t="s">
        <v>15</v>
      </c>
      <c r="E987" t="s">
        <v>75</v>
      </c>
      <c r="F987">
        <v>4122</v>
      </c>
      <c r="G987">
        <f>+YEAR(Tabla__192.168.1.8_POSEIDONSQL_APPFVT_01_SQLFacturasRendidas[[#This Row],[f_facturacion]])</f>
        <v>2018</v>
      </c>
      <c r="H98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987">
        <f>+IF(Tabla__192.168.1.8_POSEIDONSQL_APPFVT_01_SQLFacturasRendidas[[#This Row],[epc_nombre]]="RENDIDA",1,0)</f>
        <v>1</v>
      </c>
      <c r="J987">
        <f>+IF(Tabla__192.168.1.8_POSEIDONSQL_APPFVT_01_SQLFacturasRendidas[[#This Row],[usu_codigo]]="","",1)</f>
        <v>1</v>
      </c>
    </row>
    <row r="988" spans="1:10" x14ac:dyDescent="0.25">
      <c r="A988">
        <v>1</v>
      </c>
      <c r="B988">
        <v>3</v>
      </c>
      <c r="C988" t="s">
        <v>11</v>
      </c>
      <c r="D988" t="s">
        <v>15</v>
      </c>
      <c r="E988" t="s">
        <v>75</v>
      </c>
      <c r="F988">
        <v>4123</v>
      </c>
      <c r="G988">
        <f>+YEAR(Tabla__192.168.1.8_POSEIDONSQL_APPFVT_01_SQLFacturasRendidas[[#This Row],[f_facturacion]])</f>
        <v>2018</v>
      </c>
      <c r="H98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988">
        <f>+IF(Tabla__192.168.1.8_POSEIDONSQL_APPFVT_01_SQLFacturasRendidas[[#This Row],[epc_nombre]]="RENDIDA",1,0)</f>
        <v>1</v>
      </c>
      <c r="J988">
        <f>+IF(Tabla__192.168.1.8_POSEIDONSQL_APPFVT_01_SQLFacturasRendidas[[#This Row],[usu_codigo]]="","",1)</f>
        <v>1</v>
      </c>
    </row>
    <row r="989" spans="1:10" x14ac:dyDescent="0.25">
      <c r="A989">
        <v>1</v>
      </c>
      <c r="B989">
        <v>3</v>
      </c>
      <c r="C989" t="s">
        <v>11</v>
      </c>
      <c r="D989" t="s">
        <v>15</v>
      </c>
      <c r="E989" t="s">
        <v>75</v>
      </c>
      <c r="F989">
        <v>4124</v>
      </c>
      <c r="G989">
        <f>+YEAR(Tabla__192.168.1.8_POSEIDONSQL_APPFVT_01_SQLFacturasRendidas[[#This Row],[f_facturacion]])</f>
        <v>2018</v>
      </c>
      <c r="H98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989">
        <f>+IF(Tabla__192.168.1.8_POSEIDONSQL_APPFVT_01_SQLFacturasRendidas[[#This Row],[epc_nombre]]="RENDIDA",1,0)</f>
        <v>1</v>
      </c>
      <c r="J989">
        <f>+IF(Tabla__192.168.1.8_POSEIDONSQL_APPFVT_01_SQLFacturasRendidas[[#This Row],[usu_codigo]]="","",1)</f>
        <v>1</v>
      </c>
    </row>
    <row r="990" spans="1:10" x14ac:dyDescent="0.25">
      <c r="A990">
        <v>1</v>
      </c>
      <c r="B990">
        <v>3</v>
      </c>
      <c r="C990" t="s">
        <v>11</v>
      </c>
      <c r="D990" t="s">
        <v>15</v>
      </c>
      <c r="E990" t="s">
        <v>75</v>
      </c>
      <c r="F990">
        <v>4125</v>
      </c>
      <c r="G990">
        <f>+YEAR(Tabla__192.168.1.8_POSEIDONSQL_APPFVT_01_SQLFacturasRendidas[[#This Row],[f_facturacion]])</f>
        <v>2018</v>
      </c>
      <c r="H99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990">
        <f>+IF(Tabla__192.168.1.8_POSEIDONSQL_APPFVT_01_SQLFacturasRendidas[[#This Row],[epc_nombre]]="RENDIDA",1,0)</f>
        <v>1</v>
      </c>
      <c r="J990">
        <f>+IF(Tabla__192.168.1.8_POSEIDONSQL_APPFVT_01_SQLFacturasRendidas[[#This Row],[usu_codigo]]="","",1)</f>
        <v>1</v>
      </c>
    </row>
    <row r="991" spans="1:10" x14ac:dyDescent="0.25">
      <c r="A991">
        <v>1</v>
      </c>
      <c r="B991">
        <v>3</v>
      </c>
      <c r="C991" t="s">
        <v>11</v>
      </c>
      <c r="D991" t="s">
        <v>15</v>
      </c>
      <c r="E991" t="s">
        <v>75</v>
      </c>
      <c r="F991">
        <v>4126</v>
      </c>
      <c r="G991">
        <f>+YEAR(Tabla__192.168.1.8_POSEIDONSQL_APPFVT_01_SQLFacturasRendidas[[#This Row],[f_facturacion]])</f>
        <v>2018</v>
      </c>
      <c r="H99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991">
        <f>+IF(Tabla__192.168.1.8_POSEIDONSQL_APPFVT_01_SQLFacturasRendidas[[#This Row],[epc_nombre]]="RENDIDA",1,0)</f>
        <v>1</v>
      </c>
      <c r="J991">
        <f>+IF(Tabla__192.168.1.8_POSEIDONSQL_APPFVT_01_SQLFacturasRendidas[[#This Row],[usu_codigo]]="","",1)</f>
        <v>1</v>
      </c>
    </row>
    <row r="992" spans="1:10" x14ac:dyDescent="0.25">
      <c r="A992">
        <v>1</v>
      </c>
      <c r="B992">
        <v>3</v>
      </c>
      <c r="C992" t="s">
        <v>11</v>
      </c>
      <c r="D992" t="s">
        <v>15</v>
      </c>
      <c r="E992" t="s">
        <v>75</v>
      </c>
      <c r="F992">
        <v>4127</v>
      </c>
      <c r="G992">
        <f>+YEAR(Tabla__192.168.1.8_POSEIDONSQL_APPFVT_01_SQLFacturasRendidas[[#This Row],[f_facturacion]])</f>
        <v>2018</v>
      </c>
      <c r="H99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992">
        <f>+IF(Tabla__192.168.1.8_POSEIDONSQL_APPFVT_01_SQLFacturasRendidas[[#This Row],[epc_nombre]]="RENDIDA",1,0)</f>
        <v>1</v>
      </c>
      <c r="J992">
        <f>+IF(Tabla__192.168.1.8_POSEIDONSQL_APPFVT_01_SQLFacturasRendidas[[#This Row],[usu_codigo]]="","",1)</f>
        <v>1</v>
      </c>
    </row>
    <row r="993" spans="1:10" x14ac:dyDescent="0.25">
      <c r="A993">
        <v>1</v>
      </c>
      <c r="B993">
        <v>3</v>
      </c>
      <c r="C993" t="s">
        <v>11</v>
      </c>
      <c r="D993" t="s">
        <v>15</v>
      </c>
      <c r="E993" t="s">
        <v>75</v>
      </c>
      <c r="F993">
        <v>4128</v>
      </c>
      <c r="G993">
        <f>+YEAR(Tabla__192.168.1.8_POSEIDONSQL_APPFVT_01_SQLFacturasRendidas[[#This Row],[f_facturacion]])</f>
        <v>2018</v>
      </c>
      <c r="H99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993">
        <f>+IF(Tabla__192.168.1.8_POSEIDONSQL_APPFVT_01_SQLFacturasRendidas[[#This Row],[epc_nombre]]="RENDIDA",1,0)</f>
        <v>1</v>
      </c>
      <c r="J993">
        <f>+IF(Tabla__192.168.1.8_POSEIDONSQL_APPFVT_01_SQLFacturasRendidas[[#This Row],[usu_codigo]]="","",1)</f>
        <v>1</v>
      </c>
    </row>
    <row r="994" spans="1:10" x14ac:dyDescent="0.25">
      <c r="A994">
        <v>1</v>
      </c>
      <c r="B994">
        <v>3</v>
      </c>
      <c r="C994" t="s">
        <v>11</v>
      </c>
      <c r="D994" t="s">
        <v>15</v>
      </c>
      <c r="E994" t="s">
        <v>75</v>
      </c>
      <c r="F994">
        <v>4129</v>
      </c>
      <c r="G994">
        <f>+YEAR(Tabla__192.168.1.8_POSEIDONSQL_APPFVT_01_SQLFacturasRendidas[[#This Row],[f_facturacion]])</f>
        <v>2018</v>
      </c>
      <c r="H99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994">
        <f>+IF(Tabla__192.168.1.8_POSEIDONSQL_APPFVT_01_SQLFacturasRendidas[[#This Row],[epc_nombre]]="RENDIDA",1,0)</f>
        <v>1</v>
      </c>
      <c r="J994">
        <f>+IF(Tabla__192.168.1.8_POSEIDONSQL_APPFVT_01_SQLFacturasRendidas[[#This Row],[usu_codigo]]="","",1)</f>
        <v>1</v>
      </c>
    </row>
    <row r="995" spans="1:10" x14ac:dyDescent="0.25">
      <c r="A995">
        <v>1</v>
      </c>
      <c r="B995">
        <v>3</v>
      </c>
      <c r="C995" t="s">
        <v>11</v>
      </c>
      <c r="D995" t="s">
        <v>15</v>
      </c>
      <c r="E995" t="s">
        <v>75</v>
      </c>
      <c r="F995">
        <v>4130</v>
      </c>
      <c r="G995">
        <f>+YEAR(Tabla__192.168.1.8_POSEIDONSQL_APPFVT_01_SQLFacturasRendidas[[#This Row],[f_facturacion]])</f>
        <v>2018</v>
      </c>
      <c r="H99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995">
        <f>+IF(Tabla__192.168.1.8_POSEIDONSQL_APPFVT_01_SQLFacturasRendidas[[#This Row],[epc_nombre]]="RENDIDA",1,0)</f>
        <v>1</v>
      </c>
      <c r="J995">
        <f>+IF(Tabla__192.168.1.8_POSEIDONSQL_APPFVT_01_SQLFacturasRendidas[[#This Row],[usu_codigo]]="","",1)</f>
        <v>1</v>
      </c>
    </row>
    <row r="996" spans="1:10" x14ac:dyDescent="0.25">
      <c r="A996">
        <v>1</v>
      </c>
      <c r="B996">
        <v>3</v>
      </c>
      <c r="C996" t="s">
        <v>11</v>
      </c>
      <c r="D996" t="s">
        <v>15</v>
      </c>
      <c r="E996" t="s">
        <v>75</v>
      </c>
      <c r="F996">
        <v>4131</v>
      </c>
      <c r="G996">
        <f>+YEAR(Tabla__192.168.1.8_POSEIDONSQL_APPFVT_01_SQLFacturasRendidas[[#This Row],[f_facturacion]])</f>
        <v>2018</v>
      </c>
      <c r="H99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996">
        <f>+IF(Tabla__192.168.1.8_POSEIDONSQL_APPFVT_01_SQLFacturasRendidas[[#This Row],[epc_nombre]]="RENDIDA",1,0)</f>
        <v>1</v>
      </c>
      <c r="J996">
        <f>+IF(Tabla__192.168.1.8_POSEIDONSQL_APPFVT_01_SQLFacturasRendidas[[#This Row],[usu_codigo]]="","",1)</f>
        <v>1</v>
      </c>
    </row>
    <row r="997" spans="1:10" x14ac:dyDescent="0.25">
      <c r="A997">
        <v>1</v>
      </c>
      <c r="B997">
        <v>3</v>
      </c>
      <c r="C997" t="s">
        <v>11</v>
      </c>
      <c r="D997" t="s">
        <v>15</v>
      </c>
      <c r="E997" t="s">
        <v>75</v>
      </c>
      <c r="F997">
        <v>4132</v>
      </c>
      <c r="G997">
        <f>+YEAR(Tabla__192.168.1.8_POSEIDONSQL_APPFVT_01_SQLFacturasRendidas[[#This Row],[f_facturacion]])</f>
        <v>2018</v>
      </c>
      <c r="H99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997">
        <f>+IF(Tabla__192.168.1.8_POSEIDONSQL_APPFVT_01_SQLFacturasRendidas[[#This Row],[epc_nombre]]="RENDIDA",1,0)</f>
        <v>1</v>
      </c>
      <c r="J997">
        <f>+IF(Tabla__192.168.1.8_POSEIDONSQL_APPFVT_01_SQLFacturasRendidas[[#This Row],[usu_codigo]]="","",1)</f>
        <v>1</v>
      </c>
    </row>
    <row r="998" spans="1:10" x14ac:dyDescent="0.25">
      <c r="A998">
        <v>1</v>
      </c>
      <c r="B998">
        <v>3</v>
      </c>
      <c r="C998" t="s">
        <v>11</v>
      </c>
      <c r="D998" t="s">
        <v>15</v>
      </c>
      <c r="E998" t="s">
        <v>75</v>
      </c>
      <c r="F998">
        <v>4133</v>
      </c>
      <c r="G998">
        <f>+YEAR(Tabla__192.168.1.8_POSEIDONSQL_APPFVT_01_SQLFacturasRendidas[[#This Row],[f_facturacion]])</f>
        <v>2018</v>
      </c>
      <c r="H99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998">
        <f>+IF(Tabla__192.168.1.8_POSEIDONSQL_APPFVT_01_SQLFacturasRendidas[[#This Row],[epc_nombre]]="RENDIDA",1,0)</f>
        <v>1</v>
      </c>
      <c r="J998">
        <f>+IF(Tabla__192.168.1.8_POSEIDONSQL_APPFVT_01_SQLFacturasRendidas[[#This Row],[usu_codigo]]="","",1)</f>
        <v>1</v>
      </c>
    </row>
    <row r="999" spans="1:10" x14ac:dyDescent="0.25">
      <c r="A999">
        <v>1</v>
      </c>
      <c r="B999">
        <v>3</v>
      </c>
      <c r="C999" t="s">
        <v>11</v>
      </c>
      <c r="D999" t="s">
        <v>15</v>
      </c>
      <c r="E999" t="s">
        <v>75</v>
      </c>
      <c r="F999">
        <v>4134</v>
      </c>
      <c r="G999">
        <f>+YEAR(Tabla__192.168.1.8_POSEIDONSQL_APPFVT_01_SQLFacturasRendidas[[#This Row],[f_facturacion]])</f>
        <v>2018</v>
      </c>
      <c r="H99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999">
        <f>+IF(Tabla__192.168.1.8_POSEIDONSQL_APPFVT_01_SQLFacturasRendidas[[#This Row],[epc_nombre]]="RENDIDA",1,0)</f>
        <v>1</v>
      </c>
      <c r="J999">
        <f>+IF(Tabla__192.168.1.8_POSEIDONSQL_APPFVT_01_SQLFacturasRendidas[[#This Row],[usu_codigo]]="","",1)</f>
        <v>1</v>
      </c>
    </row>
    <row r="1000" spans="1:10" x14ac:dyDescent="0.25">
      <c r="A1000">
        <v>1</v>
      </c>
      <c r="B1000">
        <v>3</v>
      </c>
      <c r="C1000" t="s">
        <v>11</v>
      </c>
      <c r="D1000" t="s">
        <v>15</v>
      </c>
      <c r="E1000" t="s">
        <v>75</v>
      </c>
      <c r="F1000">
        <v>4135</v>
      </c>
      <c r="G1000">
        <f>+YEAR(Tabla__192.168.1.8_POSEIDONSQL_APPFVT_01_SQLFacturasRendidas[[#This Row],[f_facturacion]])</f>
        <v>2018</v>
      </c>
      <c r="H100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000">
        <f>+IF(Tabla__192.168.1.8_POSEIDONSQL_APPFVT_01_SQLFacturasRendidas[[#This Row],[epc_nombre]]="RENDIDA",1,0)</f>
        <v>1</v>
      </c>
      <c r="J1000">
        <f>+IF(Tabla__192.168.1.8_POSEIDONSQL_APPFVT_01_SQLFacturasRendidas[[#This Row],[usu_codigo]]="","",1)</f>
        <v>1</v>
      </c>
    </row>
    <row r="1001" spans="1:10" x14ac:dyDescent="0.25">
      <c r="A1001">
        <v>1</v>
      </c>
      <c r="B1001">
        <v>3</v>
      </c>
      <c r="C1001" t="s">
        <v>11</v>
      </c>
      <c r="D1001" t="s">
        <v>15</v>
      </c>
      <c r="E1001" t="s">
        <v>75</v>
      </c>
      <c r="F1001">
        <v>4136</v>
      </c>
      <c r="G1001">
        <f>+YEAR(Tabla__192.168.1.8_POSEIDONSQL_APPFVT_01_SQLFacturasRendidas[[#This Row],[f_facturacion]])</f>
        <v>2018</v>
      </c>
      <c r="H100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001">
        <f>+IF(Tabla__192.168.1.8_POSEIDONSQL_APPFVT_01_SQLFacturasRendidas[[#This Row],[epc_nombre]]="RENDIDA",1,0)</f>
        <v>1</v>
      </c>
      <c r="J1001">
        <f>+IF(Tabla__192.168.1.8_POSEIDONSQL_APPFVT_01_SQLFacturasRendidas[[#This Row],[usu_codigo]]="","",1)</f>
        <v>1</v>
      </c>
    </row>
    <row r="1002" spans="1:10" x14ac:dyDescent="0.25">
      <c r="A1002">
        <v>1</v>
      </c>
      <c r="B1002">
        <v>3</v>
      </c>
      <c r="C1002" t="s">
        <v>11</v>
      </c>
      <c r="D1002" t="s">
        <v>15</v>
      </c>
      <c r="E1002" t="s">
        <v>75</v>
      </c>
      <c r="F1002">
        <v>4137</v>
      </c>
      <c r="G1002">
        <f>+YEAR(Tabla__192.168.1.8_POSEIDONSQL_APPFVT_01_SQLFacturasRendidas[[#This Row],[f_facturacion]])</f>
        <v>2018</v>
      </c>
      <c r="H100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002">
        <f>+IF(Tabla__192.168.1.8_POSEIDONSQL_APPFVT_01_SQLFacturasRendidas[[#This Row],[epc_nombre]]="RENDIDA",1,0)</f>
        <v>1</v>
      </c>
      <c r="J1002">
        <f>+IF(Tabla__192.168.1.8_POSEIDONSQL_APPFVT_01_SQLFacturasRendidas[[#This Row],[usu_codigo]]="","",1)</f>
        <v>1</v>
      </c>
    </row>
    <row r="1003" spans="1:10" x14ac:dyDescent="0.25">
      <c r="A1003">
        <v>1</v>
      </c>
      <c r="B1003">
        <v>3</v>
      </c>
      <c r="C1003" t="s">
        <v>11</v>
      </c>
      <c r="D1003" t="s">
        <v>15</v>
      </c>
      <c r="E1003" t="s">
        <v>75</v>
      </c>
      <c r="F1003">
        <v>4138</v>
      </c>
      <c r="G1003">
        <f>+YEAR(Tabla__192.168.1.8_POSEIDONSQL_APPFVT_01_SQLFacturasRendidas[[#This Row],[f_facturacion]])</f>
        <v>2018</v>
      </c>
      <c r="H100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003">
        <f>+IF(Tabla__192.168.1.8_POSEIDONSQL_APPFVT_01_SQLFacturasRendidas[[#This Row],[epc_nombre]]="RENDIDA",1,0)</f>
        <v>1</v>
      </c>
      <c r="J1003">
        <f>+IF(Tabla__192.168.1.8_POSEIDONSQL_APPFVT_01_SQLFacturasRendidas[[#This Row],[usu_codigo]]="","",1)</f>
        <v>1</v>
      </c>
    </row>
    <row r="1004" spans="1:10" x14ac:dyDescent="0.25">
      <c r="A1004">
        <v>1</v>
      </c>
      <c r="B1004">
        <v>3</v>
      </c>
      <c r="C1004" t="s">
        <v>11</v>
      </c>
      <c r="D1004" t="s">
        <v>15</v>
      </c>
      <c r="E1004" t="s">
        <v>75</v>
      </c>
      <c r="F1004">
        <v>4140</v>
      </c>
      <c r="G1004">
        <f>+YEAR(Tabla__192.168.1.8_POSEIDONSQL_APPFVT_01_SQLFacturasRendidas[[#This Row],[f_facturacion]])</f>
        <v>2018</v>
      </c>
      <c r="H100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004">
        <f>+IF(Tabla__192.168.1.8_POSEIDONSQL_APPFVT_01_SQLFacturasRendidas[[#This Row],[epc_nombre]]="RENDIDA",1,0)</f>
        <v>1</v>
      </c>
      <c r="J1004">
        <f>+IF(Tabla__192.168.1.8_POSEIDONSQL_APPFVT_01_SQLFacturasRendidas[[#This Row],[usu_codigo]]="","",1)</f>
        <v>1</v>
      </c>
    </row>
    <row r="1005" spans="1:10" x14ac:dyDescent="0.25">
      <c r="A1005">
        <v>1</v>
      </c>
      <c r="B1005">
        <v>3</v>
      </c>
      <c r="C1005" t="s">
        <v>11</v>
      </c>
      <c r="D1005" t="s">
        <v>15</v>
      </c>
      <c r="E1005" t="s">
        <v>77</v>
      </c>
      <c r="F1005">
        <v>4141</v>
      </c>
      <c r="G1005">
        <f>+YEAR(Tabla__192.168.1.8_POSEIDONSQL_APPFVT_01_SQLFacturasRendidas[[#This Row],[f_facturacion]])</f>
        <v>2018</v>
      </c>
      <c r="H100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005">
        <f>+IF(Tabla__192.168.1.8_POSEIDONSQL_APPFVT_01_SQLFacturasRendidas[[#This Row],[epc_nombre]]="RENDIDA",1,0)</f>
        <v>1</v>
      </c>
      <c r="J1005">
        <f>+IF(Tabla__192.168.1.8_POSEIDONSQL_APPFVT_01_SQLFacturasRendidas[[#This Row],[usu_codigo]]="","",1)</f>
        <v>1</v>
      </c>
    </row>
    <row r="1006" spans="1:10" x14ac:dyDescent="0.25">
      <c r="A1006">
        <v>1</v>
      </c>
      <c r="B1006">
        <v>3</v>
      </c>
      <c r="C1006" t="s">
        <v>11</v>
      </c>
      <c r="D1006" t="s">
        <v>15</v>
      </c>
      <c r="E1006" t="s">
        <v>77</v>
      </c>
      <c r="F1006">
        <v>4142</v>
      </c>
      <c r="G1006">
        <f>+YEAR(Tabla__192.168.1.8_POSEIDONSQL_APPFVT_01_SQLFacturasRendidas[[#This Row],[f_facturacion]])</f>
        <v>2018</v>
      </c>
      <c r="H100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006">
        <f>+IF(Tabla__192.168.1.8_POSEIDONSQL_APPFVT_01_SQLFacturasRendidas[[#This Row],[epc_nombre]]="RENDIDA",1,0)</f>
        <v>1</v>
      </c>
      <c r="J1006">
        <f>+IF(Tabla__192.168.1.8_POSEIDONSQL_APPFVT_01_SQLFacturasRendidas[[#This Row],[usu_codigo]]="","",1)</f>
        <v>1</v>
      </c>
    </row>
    <row r="1007" spans="1:10" x14ac:dyDescent="0.25">
      <c r="A1007">
        <v>1</v>
      </c>
      <c r="B1007">
        <v>3</v>
      </c>
      <c r="C1007" t="s">
        <v>11</v>
      </c>
      <c r="D1007" t="s">
        <v>15</v>
      </c>
      <c r="E1007" t="s">
        <v>77</v>
      </c>
      <c r="F1007">
        <v>4144</v>
      </c>
      <c r="G1007">
        <f>+YEAR(Tabla__192.168.1.8_POSEIDONSQL_APPFVT_01_SQLFacturasRendidas[[#This Row],[f_facturacion]])</f>
        <v>2018</v>
      </c>
      <c r="H100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007">
        <f>+IF(Tabla__192.168.1.8_POSEIDONSQL_APPFVT_01_SQLFacturasRendidas[[#This Row],[epc_nombre]]="RENDIDA",1,0)</f>
        <v>1</v>
      </c>
      <c r="J1007">
        <f>+IF(Tabla__192.168.1.8_POSEIDONSQL_APPFVT_01_SQLFacturasRendidas[[#This Row],[usu_codigo]]="","",1)</f>
        <v>1</v>
      </c>
    </row>
    <row r="1008" spans="1:10" x14ac:dyDescent="0.25">
      <c r="A1008">
        <v>1</v>
      </c>
      <c r="B1008">
        <v>3</v>
      </c>
      <c r="C1008" t="s">
        <v>81</v>
      </c>
      <c r="D1008" t="s">
        <v>15</v>
      </c>
      <c r="E1008" t="s">
        <v>52</v>
      </c>
      <c r="F1008">
        <v>92810</v>
      </c>
      <c r="G1008">
        <f>+YEAR(Tabla__192.168.1.8_POSEIDONSQL_APPFVT_01_SQLFacturasRendidas[[#This Row],[f_facturacion]])</f>
        <v>2018</v>
      </c>
      <c r="H100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008">
        <f>+IF(Tabla__192.168.1.8_POSEIDONSQL_APPFVT_01_SQLFacturasRendidas[[#This Row],[epc_nombre]]="RENDIDA",1,0)</f>
        <v>1</v>
      </c>
      <c r="J1008">
        <f>+IF(Tabla__192.168.1.8_POSEIDONSQL_APPFVT_01_SQLFacturasRendidas[[#This Row],[usu_codigo]]="","",1)</f>
        <v>1</v>
      </c>
    </row>
    <row r="1009" spans="1:10" x14ac:dyDescent="0.25">
      <c r="A1009">
        <v>1</v>
      </c>
      <c r="B1009">
        <v>3</v>
      </c>
      <c r="C1009" t="s">
        <v>81</v>
      </c>
      <c r="D1009" t="s">
        <v>15</v>
      </c>
      <c r="E1009" t="s">
        <v>52</v>
      </c>
      <c r="F1009">
        <v>92811</v>
      </c>
      <c r="G1009">
        <f>+YEAR(Tabla__192.168.1.8_POSEIDONSQL_APPFVT_01_SQLFacturasRendidas[[#This Row],[f_facturacion]])</f>
        <v>2018</v>
      </c>
      <c r="H100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009">
        <f>+IF(Tabla__192.168.1.8_POSEIDONSQL_APPFVT_01_SQLFacturasRendidas[[#This Row],[epc_nombre]]="RENDIDA",1,0)</f>
        <v>1</v>
      </c>
      <c r="J1009">
        <f>+IF(Tabla__192.168.1.8_POSEIDONSQL_APPFVT_01_SQLFacturasRendidas[[#This Row],[usu_codigo]]="","",1)</f>
        <v>1</v>
      </c>
    </row>
    <row r="1010" spans="1:10" x14ac:dyDescent="0.25">
      <c r="A1010">
        <v>1</v>
      </c>
      <c r="B1010">
        <v>3</v>
      </c>
      <c r="C1010" t="s">
        <v>81</v>
      </c>
      <c r="D1010" t="s">
        <v>15</v>
      </c>
      <c r="E1010" t="s">
        <v>52</v>
      </c>
      <c r="F1010">
        <v>92812</v>
      </c>
      <c r="G1010">
        <f>+YEAR(Tabla__192.168.1.8_POSEIDONSQL_APPFVT_01_SQLFacturasRendidas[[#This Row],[f_facturacion]])</f>
        <v>2018</v>
      </c>
      <c r="H101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010">
        <f>+IF(Tabla__192.168.1.8_POSEIDONSQL_APPFVT_01_SQLFacturasRendidas[[#This Row],[epc_nombre]]="RENDIDA",1,0)</f>
        <v>1</v>
      </c>
      <c r="J1010">
        <f>+IF(Tabla__192.168.1.8_POSEIDONSQL_APPFVT_01_SQLFacturasRendidas[[#This Row],[usu_codigo]]="","",1)</f>
        <v>1</v>
      </c>
    </row>
    <row r="1011" spans="1:10" x14ac:dyDescent="0.25">
      <c r="A1011">
        <v>1</v>
      </c>
      <c r="B1011">
        <v>3</v>
      </c>
      <c r="C1011" t="s">
        <v>81</v>
      </c>
      <c r="D1011" t="s">
        <v>15</v>
      </c>
      <c r="E1011" t="s">
        <v>52</v>
      </c>
      <c r="F1011">
        <v>92813</v>
      </c>
      <c r="G1011">
        <f>+YEAR(Tabla__192.168.1.8_POSEIDONSQL_APPFVT_01_SQLFacturasRendidas[[#This Row],[f_facturacion]])</f>
        <v>2018</v>
      </c>
      <c r="H101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011">
        <f>+IF(Tabla__192.168.1.8_POSEIDONSQL_APPFVT_01_SQLFacturasRendidas[[#This Row],[epc_nombre]]="RENDIDA",1,0)</f>
        <v>1</v>
      </c>
      <c r="J1011">
        <f>+IF(Tabla__192.168.1.8_POSEIDONSQL_APPFVT_01_SQLFacturasRendidas[[#This Row],[usu_codigo]]="","",1)</f>
        <v>1</v>
      </c>
    </row>
    <row r="1012" spans="1:10" x14ac:dyDescent="0.25">
      <c r="A1012">
        <v>1</v>
      </c>
      <c r="B1012">
        <v>3</v>
      </c>
      <c r="C1012" t="s">
        <v>81</v>
      </c>
      <c r="D1012" t="s">
        <v>15</v>
      </c>
      <c r="E1012" t="s">
        <v>52</v>
      </c>
      <c r="F1012">
        <v>92814</v>
      </c>
      <c r="G1012">
        <f>+YEAR(Tabla__192.168.1.8_POSEIDONSQL_APPFVT_01_SQLFacturasRendidas[[#This Row],[f_facturacion]])</f>
        <v>2018</v>
      </c>
      <c r="H101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012">
        <f>+IF(Tabla__192.168.1.8_POSEIDONSQL_APPFVT_01_SQLFacturasRendidas[[#This Row],[epc_nombre]]="RENDIDA",1,0)</f>
        <v>1</v>
      </c>
      <c r="J1012">
        <f>+IF(Tabla__192.168.1.8_POSEIDONSQL_APPFVT_01_SQLFacturasRendidas[[#This Row],[usu_codigo]]="","",1)</f>
        <v>1</v>
      </c>
    </row>
    <row r="1013" spans="1:10" x14ac:dyDescent="0.25">
      <c r="A1013">
        <v>1</v>
      </c>
      <c r="B1013">
        <v>3</v>
      </c>
      <c r="C1013" t="s">
        <v>81</v>
      </c>
      <c r="D1013" t="s">
        <v>15</v>
      </c>
      <c r="E1013" t="s">
        <v>52</v>
      </c>
      <c r="F1013">
        <v>92815</v>
      </c>
      <c r="G1013">
        <f>+YEAR(Tabla__192.168.1.8_POSEIDONSQL_APPFVT_01_SQLFacturasRendidas[[#This Row],[f_facturacion]])</f>
        <v>2018</v>
      </c>
      <c r="H101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013">
        <f>+IF(Tabla__192.168.1.8_POSEIDONSQL_APPFVT_01_SQLFacturasRendidas[[#This Row],[epc_nombre]]="RENDIDA",1,0)</f>
        <v>1</v>
      </c>
      <c r="J1013">
        <f>+IF(Tabla__192.168.1.8_POSEIDONSQL_APPFVT_01_SQLFacturasRendidas[[#This Row],[usu_codigo]]="","",1)</f>
        <v>1</v>
      </c>
    </row>
    <row r="1014" spans="1:10" x14ac:dyDescent="0.25">
      <c r="A1014">
        <v>1</v>
      </c>
      <c r="B1014">
        <v>3</v>
      </c>
      <c r="C1014" t="s">
        <v>81</v>
      </c>
      <c r="D1014" t="s">
        <v>15</v>
      </c>
      <c r="E1014" t="s">
        <v>52</v>
      </c>
      <c r="F1014">
        <v>92816</v>
      </c>
      <c r="G1014">
        <f>+YEAR(Tabla__192.168.1.8_POSEIDONSQL_APPFVT_01_SQLFacturasRendidas[[#This Row],[f_facturacion]])</f>
        <v>2018</v>
      </c>
      <c r="H101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014">
        <f>+IF(Tabla__192.168.1.8_POSEIDONSQL_APPFVT_01_SQLFacturasRendidas[[#This Row],[epc_nombre]]="RENDIDA",1,0)</f>
        <v>1</v>
      </c>
      <c r="J1014">
        <f>+IF(Tabla__192.168.1.8_POSEIDONSQL_APPFVT_01_SQLFacturasRendidas[[#This Row],[usu_codigo]]="","",1)</f>
        <v>1</v>
      </c>
    </row>
    <row r="1015" spans="1:10" x14ac:dyDescent="0.25">
      <c r="A1015">
        <v>1</v>
      </c>
      <c r="B1015">
        <v>3</v>
      </c>
      <c r="C1015" t="s">
        <v>81</v>
      </c>
      <c r="D1015" t="s">
        <v>15</v>
      </c>
      <c r="E1015" t="s">
        <v>52</v>
      </c>
      <c r="F1015">
        <v>92817</v>
      </c>
      <c r="G1015">
        <f>+YEAR(Tabla__192.168.1.8_POSEIDONSQL_APPFVT_01_SQLFacturasRendidas[[#This Row],[f_facturacion]])</f>
        <v>2018</v>
      </c>
      <c r="H101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015">
        <f>+IF(Tabla__192.168.1.8_POSEIDONSQL_APPFVT_01_SQLFacturasRendidas[[#This Row],[epc_nombre]]="RENDIDA",1,0)</f>
        <v>1</v>
      </c>
      <c r="J1015">
        <f>+IF(Tabla__192.168.1.8_POSEIDONSQL_APPFVT_01_SQLFacturasRendidas[[#This Row],[usu_codigo]]="","",1)</f>
        <v>1</v>
      </c>
    </row>
    <row r="1016" spans="1:10" x14ac:dyDescent="0.25">
      <c r="A1016">
        <v>1</v>
      </c>
      <c r="B1016">
        <v>3</v>
      </c>
      <c r="C1016" t="s">
        <v>81</v>
      </c>
      <c r="D1016" t="s">
        <v>15</v>
      </c>
      <c r="E1016" t="s">
        <v>52</v>
      </c>
      <c r="F1016">
        <v>92818</v>
      </c>
      <c r="G1016">
        <f>+YEAR(Tabla__192.168.1.8_POSEIDONSQL_APPFVT_01_SQLFacturasRendidas[[#This Row],[f_facturacion]])</f>
        <v>2018</v>
      </c>
      <c r="H101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016">
        <f>+IF(Tabla__192.168.1.8_POSEIDONSQL_APPFVT_01_SQLFacturasRendidas[[#This Row],[epc_nombre]]="RENDIDA",1,0)</f>
        <v>1</v>
      </c>
      <c r="J1016">
        <f>+IF(Tabla__192.168.1.8_POSEIDONSQL_APPFVT_01_SQLFacturasRendidas[[#This Row],[usu_codigo]]="","",1)</f>
        <v>1</v>
      </c>
    </row>
    <row r="1017" spans="1:10" x14ac:dyDescent="0.25">
      <c r="A1017">
        <v>1</v>
      </c>
      <c r="B1017">
        <v>3</v>
      </c>
      <c r="C1017" t="s">
        <v>81</v>
      </c>
      <c r="D1017" t="s">
        <v>15</v>
      </c>
      <c r="E1017" t="s">
        <v>52</v>
      </c>
      <c r="F1017">
        <v>92819</v>
      </c>
      <c r="G1017">
        <f>+YEAR(Tabla__192.168.1.8_POSEIDONSQL_APPFVT_01_SQLFacturasRendidas[[#This Row],[f_facturacion]])</f>
        <v>2018</v>
      </c>
      <c r="H101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017">
        <f>+IF(Tabla__192.168.1.8_POSEIDONSQL_APPFVT_01_SQLFacturasRendidas[[#This Row],[epc_nombre]]="RENDIDA",1,0)</f>
        <v>1</v>
      </c>
      <c r="J1017">
        <f>+IF(Tabla__192.168.1.8_POSEIDONSQL_APPFVT_01_SQLFacturasRendidas[[#This Row],[usu_codigo]]="","",1)</f>
        <v>1</v>
      </c>
    </row>
    <row r="1018" spans="1:10" x14ac:dyDescent="0.25">
      <c r="A1018">
        <v>1</v>
      </c>
      <c r="B1018">
        <v>3</v>
      </c>
      <c r="C1018" t="s">
        <v>81</v>
      </c>
      <c r="D1018" t="s">
        <v>15</v>
      </c>
      <c r="E1018" t="s">
        <v>52</v>
      </c>
      <c r="F1018">
        <v>92820</v>
      </c>
      <c r="G1018">
        <f>+YEAR(Tabla__192.168.1.8_POSEIDONSQL_APPFVT_01_SQLFacturasRendidas[[#This Row],[f_facturacion]])</f>
        <v>2018</v>
      </c>
      <c r="H101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018">
        <f>+IF(Tabla__192.168.1.8_POSEIDONSQL_APPFVT_01_SQLFacturasRendidas[[#This Row],[epc_nombre]]="RENDIDA",1,0)</f>
        <v>1</v>
      </c>
      <c r="J1018">
        <f>+IF(Tabla__192.168.1.8_POSEIDONSQL_APPFVT_01_SQLFacturasRendidas[[#This Row],[usu_codigo]]="","",1)</f>
        <v>1</v>
      </c>
    </row>
    <row r="1019" spans="1:10" x14ac:dyDescent="0.25">
      <c r="A1019">
        <v>1</v>
      </c>
      <c r="B1019">
        <v>3</v>
      </c>
      <c r="C1019" t="s">
        <v>81</v>
      </c>
      <c r="D1019" t="s">
        <v>15</v>
      </c>
      <c r="E1019" t="s">
        <v>52</v>
      </c>
      <c r="F1019">
        <v>92821</v>
      </c>
      <c r="G1019">
        <f>+YEAR(Tabla__192.168.1.8_POSEIDONSQL_APPFVT_01_SQLFacturasRendidas[[#This Row],[f_facturacion]])</f>
        <v>2018</v>
      </c>
      <c r="H101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019">
        <f>+IF(Tabla__192.168.1.8_POSEIDONSQL_APPFVT_01_SQLFacturasRendidas[[#This Row],[epc_nombre]]="RENDIDA",1,0)</f>
        <v>1</v>
      </c>
      <c r="J1019">
        <f>+IF(Tabla__192.168.1.8_POSEIDONSQL_APPFVT_01_SQLFacturasRendidas[[#This Row],[usu_codigo]]="","",1)</f>
        <v>1</v>
      </c>
    </row>
    <row r="1020" spans="1:10" x14ac:dyDescent="0.25">
      <c r="A1020">
        <v>1</v>
      </c>
      <c r="B1020">
        <v>3</v>
      </c>
      <c r="C1020" t="s">
        <v>81</v>
      </c>
      <c r="D1020" t="s">
        <v>15</v>
      </c>
      <c r="E1020" t="s">
        <v>52</v>
      </c>
      <c r="F1020">
        <v>92822</v>
      </c>
      <c r="G1020">
        <f>+YEAR(Tabla__192.168.1.8_POSEIDONSQL_APPFVT_01_SQLFacturasRendidas[[#This Row],[f_facturacion]])</f>
        <v>2018</v>
      </c>
      <c r="H102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020">
        <f>+IF(Tabla__192.168.1.8_POSEIDONSQL_APPFVT_01_SQLFacturasRendidas[[#This Row],[epc_nombre]]="RENDIDA",1,0)</f>
        <v>1</v>
      </c>
      <c r="J1020">
        <f>+IF(Tabla__192.168.1.8_POSEIDONSQL_APPFVT_01_SQLFacturasRendidas[[#This Row],[usu_codigo]]="","",1)</f>
        <v>1</v>
      </c>
    </row>
    <row r="1021" spans="1:10" x14ac:dyDescent="0.25">
      <c r="A1021">
        <v>1</v>
      </c>
      <c r="B1021">
        <v>3</v>
      </c>
      <c r="C1021" t="s">
        <v>81</v>
      </c>
      <c r="D1021" t="s">
        <v>15</v>
      </c>
      <c r="E1021" t="s">
        <v>52</v>
      </c>
      <c r="F1021">
        <v>92823</v>
      </c>
      <c r="G1021">
        <f>+YEAR(Tabla__192.168.1.8_POSEIDONSQL_APPFVT_01_SQLFacturasRendidas[[#This Row],[f_facturacion]])</f>
        <v>2018</v>
      </c>
      <c r="H102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021">
        <f>+IF(Tabla__192.168.1.8_POSEIDONSQL_APPFVT_01_SQLFacturasRendidas[[#This Row],[epc_nombre]]="RENDIDA",1,0)</f>
        <v>1</v>
      </c>
      <c r="J1021">
        <f>+IF(Tabla__192.168.1.8_POSEIDONSQL_APPFVT_01_SQLFacturasRendidas[[#This Row],[usu_codigo]]="","",1)</f>
        <v>1</v>
      </c>
    </row>
    <row r="1022" spans="1:10" x14ac:dyDescent="0.25">
      <c r="A1022">
        <v>1</v>
      </c>
      <c r="B1022">
        <v>3</v>
      </c>
      <c r="C1022" t="s">
        <v>81</v>
      </c>
      <c r="D1022" t="s">
        <v>15</v>
      </c>
      <c r="E1022" t="s">
        <v>52</v>
      </c>
      <c r="F1022">
        <v>92824</v>
      </c>
      <c r="G1022">
        <f>+YEAR(Tabla__192.168.1.8_POSEIDONSQL_APPFVT_01_SQLFacturasRendidas[[#This Row],[f_facturacion]])</f>
        <v>2018</v>
      </c>
      <c r="H102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022">
        <f>+IF(Tabla__192.168.1.8_POSEIDONSQL_APPFVT_01_SQLFacturasRendidas[[#This Row],[epc_nombre]]="RENDIDA",1,0)</f>
        <v>1</v>
      </c>
      <c r="J1022">
        <f>+IF(Tabla__192.168.1.8_POSEIDONSQL_APPFVT_01_SQLFacturasRendidas[[#This Row],[usu_codigo]]="","",1)</f>
        <v>1</v>
      </c>
    </row>
    <row r="1023" spans="1:10" x14ac:dyDescent="0.25">
      <c r="A1023">
        <v>1</v>
      </c>
      <c r="B1023">
        <v>3</v>
      </c>
      <c r="C1023" t="s">
        <v>81</v>
      </c>
      <c r="D1023" t="s">
        <v>15</v>
      </c>
      <c r="E1023" t="s">
        <v>52</v>
      </c>
      <c r="F1023">
        <v>92825</v>
      </c>
      <c r="G1023">
        <f>+YEAR(Tabla__192.168.1.8_POSEIDONSQL_APPFVT_01_SQLFacturasRendidas[[#This Row],[f_facturacion]])</f>
        <v>2018</v>
      </c>
      <c r="H102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023">
        <f>+IF(Tabla__192.168.1.8_POSEIDONSQL_APPFVT_01_SQLFacturasRendidas[[#This Row],[epc_nombre]]="RENDIDA",1,0)</f>
        <v>1</v>
      </c>
      <c r="J1023">
        <f>+IF(Tabla__192.168.1.8_POSEIDONSQL_APPFVT_01_SQLFacturasRendidas[[#This Row],[usu_codigo]]="","",1)</f>
        <v>1</v>
      </c>
    </row>
    <row r="1024" spans="1:10" x14ac:dyDescent="0.25">
      <c r="A1024">
        <v>1</v>
      </c>
      <c r="B1024">
        <v>3</v>
      </c>
      <c r="C1024" t="s">
        <v>81</v>
      </c>
      <c r="D1024" t="s">
        <v>15</v>
      </c>
      <c r="E1024" t="s">
        <v>52</v>
      </c>
      <c r="F1024">
        <v>92826</v>
      </c>
      <c r="G1024">
        <f>+YEAR(Tabla__192.168.1.8_POSEIDONSQL_APPFVT_01_SQLFacturasRendidas[[#This Row],[f_facturacion]])</f>
        <v>2018</v>
      </c>
      <c r="H102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024">
        <f>+IF(Tabla__192.168.1.8_POSEIDONSQL_APPFVT_01_SQLFacturasRendidas[[#This Row],[epc_nombre]]="RENDIDA",1,0)</f>
        <v>1</v>
      </c>
      <c r="J1024">
        <f>+IF(Tabla__192.168.1.8_POSEIDONSQL_APPFVT_01_SQLFacturasRendidas[[#This Row],[usu_codigo]]="","",1)</f>
        <v>1</v>
      </c>
    </row>
    <row r="1025" spans="1:10" x14ac:dyDescent="0.25">
      <c r="A1025">
        <v>1</v>
      </c>
      <c r="B1025">
        <v>3</v>
      </c>
      <c r="C1025" t="s">
        <v>81</v>
      </c>
      <c r="D1025" t="s">
        <v>15</v>
      </c>
      <c r="E1025" t="s">
        <v>52</v>
      </c>
      <c r="F1025">
        <v>92827</v>
      </c>
      <c r="G1025">
        <f>+YEAR(Tabla__192.168.1.8_POSEIDONSQL_APPFVT_01_SQLFacturasRendidas[[#This Row],[f_facturacion]])</f>
        <v>2018</v>
      </c>
      <c r="H102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025">
        <f>+IF(Tabla__192.168.1.8_POSEIDONSQL_APPFVT_01_SQLFacturasRendidas[[#This Row],[epc_nombre]]="RENDIDA",1,0)</f>
        <v>1</v>
      </c>
      <c r="J1025">
        <f>+IF(Tabla__192.168.1.8_POSEIDONSQL_APPFVT_01_SQLFacturasRendidas[[#This Row],[usu_codigo]]="","",1)</f>
        <v>1</v>
      </c>
    </row>
    <row r="1026" spans="1:10" x14ac:dyDescent="0.25">
      <c r="A1026">
        <v>1</v>
      </c>
      <c r="B1026">
        <v>3</v>
      </c>
      <c r="C1026" t="s">
        <v>81</v>
      </c>
      <c r="D1026" t="s">
        <v>15</v>
      </c>
      <c r="E1026" t="s">
        <v>68</v>
      </c>
      <c r="F1026">
        <v>92928</v>
      </c>
      <c r="G1026">
        <f>+YEAR(Tabla__192.168.1.8_POSEIDONSQL_APPFVT_01_SQLFacturasRendidas[[#This Row],[f_facturacion]])</f>
        <v>2018</v>
      </c>
      <c r="H102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026">
        <f>+IF(Tabla__192.168.1.8_POSEIDONSQL_APPFVT_01_SQLFacturasRendidas[[#This Row],[epc_nombre]]="RENDIDA",1,0)</f>
        <v>1</v>
      </c>
      <c r="J1026">
        <f>+IF(Tabla__192.168.1.8_POSEIDONSQL_APPFVT_01_SQLFacturasRendidas[[#This Row],[usu_codigo]]="","",1)</f>
        <v>1</v>
      </c>
    </row>
    <row r="1027" spans="1:10" x14ac:dyDescent="0.25">
      <c r="A1027">
        <v>1</v>
      </c>
      <c r="B1027">
        <v>3</v>
      </c>
      <c r="C1027" t="s">
        <v>81</v>
      </c>
      <c r="D1027" t="s">
        <v>15</v>
      </c>
      <c r="E1027" t="s">
        <v>68</v>
      </c>
      <c r="F1027">
        <v>92929</v>
      </c>
      <c r="G1027">
        <f>+YEAR(Tabla__192.168.1.8_POSEIDONSQL_APPFVT_01_SQLFacturasRendidas[[#This Row],[f_facturacion]])</f>
        <v>2018</v>
      </c>
      <c r="H102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027">
        <f>+IF(Tabla__192.168.1.8_POSEIDONSQL_APPFVT_01_SQLFacturasRendidas[[#This Row],[epc_nombre]]="RENDIDA",1,0)</f>
        <v>1</v>
      </c>
      <c r="J1027">
        <f>+IF(Tabla__192.168.1.8_POSEIDONSQL_APPFVT_01_SQLFacturasRendidas[[#This Row],[usu_codigo]]="","",1)</f>
        <v>1</v>
      </c>
    </row>
    <row r="1028" spans="1:10" x14ac:dyDescent="0.25">
      <c r="A1028">
        <v>1</v>
      </c>
      <c r="B1028">
        <v>3</v>
      </c>
      <c r="C1028" t="s">
        <v>81</v>
      </c>
      <c r="D1028" t="s">
        <v>15</v>
      </c>
      <c r="E1028" t="s">
        <v>68</v>
      </c>
      <c r="F1028">
        <v>92930</v>
      </c>
      <c r="G1028">
        <f>+YEAR(Tabla__192.168.1.8_POSEIDONSQL_APPFVT_01_SQLFacturasRendidas[[#This Row],[f_facturacion]])</f>
        <v>2018</v>
      </c>
      <c r="H102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028">
        <f>+IF(Tabla__192.168.1.8_POSEIDONSQL_APPFVT_01_SQLFacturasRendidas[[#This Row],[epc_nombre]]="RENDIDA",1,0)</f>
        <v>1</v>
      </c>
      <c r="J1028">
        <f>+IF(Tabla__192.168.1.8_POSEIDONSQL_APPFVT_01_SQLFacturasRendidas[[#This Row],[usu_codigo]]="","",1)</f>
        <v>1</v>
      </c>
    </row>
    <row r="1029" spans="1:10" x14ac:dyDescent="0.25">
      <c r="A1029">
        <v>1</v>
      </c>
      <c r="B1029">
        <v>3</v>
      </c>
      <c r="C1029" t="s">
        <v>81</v>
      </c>
      <c r="D1029" t="s">
        <v>15</v>
      </c>
      <c r="E1029" t="s">
        <v>68</v>
      </c>
      <c r="F1029">
        <v>92931</v>
      </c>
      <c r="G1029">
        <f>+YEAR(Tabla__192.168.1.8_POSEIDONSQL_APPFVT_01_SQLFacturasRendidas[[#This Row],[f_facturacion]])</f>
        <v>2018</v>
      </c>
      <c r="H102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029">
        <f>+IF(Tabla__192.168.1.8_POSEIDONSQL_APPFVT_01_SQLFacturasRendidas[[#This Row],[epc_nombre]]="RENDIDA",1,0)</f>
        <v>1</v>
      </c>
      <c r="J1029">
        <f>+IF(Tabla__192.168.1.8_POSEIDONSQL_APPFVT_01_SQLFacturasRendidas[[#This Row],[usu_codigo]]="","",1)</f>
        <v>1</v>
      </c>
    </row>
    <row r="1030" spans="1:10" x14ac:dyDescent="0.25">
      <c r="A1030">
        <v>1</v>
      </c>
      <c r="B1030">
        <v>3</v>
      </c>
      <c r="C1030" t="s">
        <v>81</v>
      </c>
      <c r="D1030" t="s">
        <v>15</v>
      </c>
      <c r="E1030" t="s">
        <v>68</v>
      </c>
      <c r="F1030">
        <v>92932</v>
      </c>
      <c r="G1030">
        <f>+YEAR(Tabla__192.168.1.8_POSEIDONSQL_APPFVT_01_SQLFacturasRendidas[[#This Row],[f_facturacion]])</f>
        <v>2018</v>
      </c>
      <c r="H103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030">
        <f>+IF(Tabla__192.168.1.8_POSEIDONSQL_APPFVT_01_SQLFacturasRendidas[[#This Row],[epc_nombre]]="RENDIDA",1,0)</f>
        <v>1</v>
      </c>
      <c r="J1030">
        <f>+IF(Tabla__192.168.1.8_POSEIDONSQL_APPFVT_01_SQLFacturasRendidas[[#This Row],[usu_codigo]]="","",1)</f>
        <v>1</v>
      </c>
    </row>
    <row r="1031" spans="1:10" x14ac:dyDescent="0.25">
      <c r="A1031">
        <v>1</v>
      </c>
      <c r="B1031">
        <v>3</v>
      </c>
      <c r="C1031" t="s">
        <v>81</v>
      </c>
      <c r="D1031" t="s">
        <v>15</v>
      </c>
      <c r="E1031" t="s">
        <v>68</v>
      </c>
      <c r="F1031">
        <v>92933</v>
      </c>
      <c r="G1031">
        <f>+YEAR(Tabla__192.168.1.8_POSEIDONSQL_APPFVT_01_SQLFacturasRendidas[[#This Row],[f_facturacion]])</f>
        <v>2018</v>
      </c>
      <c r="H103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031">
        <f>+IF(Tabla__192.168.1.8_POSEIDONSQL_APPFVT_01_SQLFacturasRendidas[[#This Row],[epc_nombre]]="RENDIDA",1,0)</f>
        <v>1</v>
      </c>
      <c r="J1031">
        <f>+IF(Tabla__192.168.1.8_POSEIDONSQL_APPFVT_01_SQLFacturasRendidas[[#This Row],[usu_codigo]]="","",1)</f>
        <v>1</v>
      </c>
    </row>
    <row r="1032" spans="1:10" x14ac:dyDescent="0.25">
      <c r="A1032">
        <v>1</v>
      </c>
      <c r="B1032">
        <v>3</v>
      </c>
      <c r="C1032" t="s">
        <v>81</v>
      </c>
      <c r="D1032" t="s">
        <v>15</v>
      </c>
      <c r="E1032" t="s">
        <v>68</v>
      </c>
      <c r="F1032">
        <v>92934</v>
      </c>
      <c r="G1032">
        <f>+YEAR(Tabla__192.168.1.8_POSEIDONSQL_APPFVT_01_SQLFacturasRendidas[[#This Row],[f_facturacion]])</f>
        <v>2018</v>
      </c>
      <c r="H103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032">
        <f>+IF(Tabla__192.168.1.8_POSEIDONSQL_APPFVT_01_SQLFacturasRendidas[[#This Row],[epc_nombre]]="RENDIDA",1,0)</f>
        <v>1</v>
      </c>
      <c r="J1032">
        <f>+IF(Tabla__192.168.1.8_POSEIDONSQL_APPFVT_01_SQLFacturasRendidas[[#This Row],[usu_codigo]]="","",1)</f>
        <v>1</v>
      </c>
    </row>
    <row r="1033" spans="1:10" x14ac:dyDescent="0.25">
      <c r="A1033">
        <v>1</v>
      </c>
      <c r="B1033">
        <v>3</v>
      </c>
      <c r="C1033" t="s">
        <v>81</v>
      </c>
      <c r="D1033" t="s">
        <v>15</v>
      </c>
      <c r="E1033" t="s">
        <v>68</v>
      </c>
      <c r="F1033">
        <v>92935</v>
      </c>
      <c r="G1033">
        <f>+YEAR(Tabla__192.168.1.8_POSEIDONSQL_APPFVT_01_SQLFacturasRendidas[[#This Row],[f_facturacion]])</f>
        <v>2018</v>
      </c>
      <c r="H103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033">
        <f>+IF(Tabla__192.168.1.8_POSEIDONSQL_APPFVT_01_SQLFacturasRendidas[[#This Row],[epc_nombre]]="RENDIDA",1,0)</f>
        <v>1</v>
      </c>
      <c r="J1033">
        <f>+IF(Tabla__192.168.1.8_POSEIDONSQL_APPFVT_01_SQLFacturasRendidas[[#This Row],[usu_codigo]]="","",1)</f>
        <v>1</v>
      </c>
    </row>
    <row r="1034" spans="1:10" x14ac:dyDescent="0.25">
      <c r="A1034">
        <v>1</v>
      </c>
      <c r="B1034">
        <v>3</v>
      </c>
      <c r="C1034" t="s">
        <v>81</v>
      </c>
      <c r="D1034" t="s">
        <v>15</v>
      </c>
      <c r="E1034" t="s">
        <v>68</v>
      </c>
      <c r="F1034">
        <v>92936</v>
      </c>
      <c r="G1034">
        <f>+YEAR(Tabla__192.168.1.8_POSEIDONSQL_APPFVT_01_SQLFacturasRendidas[[#This Row],[f_facturacion]])</f>
        <v>2018</v>
      </c>
      <c r="H103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034">
        <f>+IF(Tabla__192.168.1.8_POSEIDONSQL_APPFVT_01_SQLFacturasRendidas[[#This Row],[epc_nombre]]="RENDIDA",1,0)</f>
        <v>1</v>
      </c>
      <c r="J1034">
        <f>+IF(Tabla__192.168.1.8_POSEIDONSQL_APPFVT_01_SQLFacturasRendidas[[#This Row],[usu_codigo]]="","",1)</f>
        <v>1</v>
      </c>
    </row>
    <row r="1035" spans="1:10" x14ac:dyDescent="0.25">
      <c r="A1035">
        <v>1</v>
      </c>
      <c r="B1035">
        <v>3</v>
      </c>
      <c r="C1035" t="s">
        <v>81</v>
      </c>
      <c r="D1035" t="s">
        <v>15</v>
      </c>
      <c r="E1035" t="s">
        <v>68</v>
      </c>
      <c r="F1035">
        <v>92937</v>
      </c>
      <c r="G1035">
        <f>+YEAR(Tabla__192.168.1.8_POSEIDONSQL_APPFVT_01_SQLFacturasRendidas[[#This Row],[f_facturacion]])</f>
        <v>2018</v>
      </c>
      <c r="H103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035">
        <f>+IF(Tabla__192.168.1.8_POSEIDONSQL_APPFVT_01_SQLFacturasRendidas[[#This Row],[epc_nombre]]="RENDIDA",1,0)</f>
        <v>1</v>
      </c>
      <c r="J1035">
        <f>+IF(Tabla__192.168.1.8_POSEIDONSQL_APPFVT_01_SQLFacturasRendidas[[#This Row],[usu_codigo]]="","",1)</f>
        <v>1</v>
      </c>
    </row>
    <row r="1036" spans="1:10" x14ac:dyDescent="0.25">
      <c r="A1036">
        <v>1</v>
      </c>
      <c r="B1036">
        <v>3</v>
      </c>
      <c r="C1036" t="s">
        <v>81</v>
      </c>
      <c r="D1036" t="s">
        <v>15</v>
      </c>
      <c r="E1036" t="s">
        <v>68</v>
      </c>
      <c r="F1036">
        <v>92938</v>
      </c>
      <c r="G1036">
        <f>+YEAR(Tabla__192.168.1.8_POSEIDONSQL_APPFVT_01_SQLFacturasRendidas[[#This Row],[f_facturacion]])</f>
        <v>2018</v>
      </c>
      <c r="H103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036">
        <f>+IF(Tabla__192.168.1.8_POSEIDONSQL_APPFVT_01_SQLFacturasRendidas[[#This Row],[epc_nombre]]="RENDIDA",1,0)</f>
        <v>1</v>
      </c>
      <c r="J1036">
        <f>+IF(Tabla__192.168.1.8_POSEIDONSQL_APPFVT_01_SQLFacturasRendidas[[#This Row],[usu_codigo]]="","",1)</f>
        <v>1</v>
      </c>
    </row>
    <row r="1037" spans="1:10" x14ac:dyDescent="0.25">
      <c r="A1037">
        <v>1</v>
      </c>
      <c r="B1037">
        <v>3</v>
      </c>
      <c r="C1037" t="s">
        <v>81</v>
      </c>
      <c r="D1037" t="s">
        <v>15</v>
      </c>
      <c r="E1037" t="s">
        <v>68</v>
      </c>
      <c r="F1037">
        <v>92939</v>
      </c>
      <c r="G1037">
        <f>+YEAR(Tabla__192.168.1.8_POSEIDONSQL_APPFVT_01_SQLFacturasRendidas[[#This Row],[f_facturacion]])</f>
        <v>2018</v>
      </c>
      <c r="H103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037">
        <f>+IF(Tabla__192.168.1.8_POSEIDONSQL_APPFVT_01_SQLFacturasRendidas[[#This Row],[epc_nombre]]="RENDIDA",1,0)</f>
        <v>1</v>
      </c>
      <c r="J1037">
        <f>+IF(Tabla__192.168.1.8_POSEIDONSQL_APPFVT_01_SQLFacturasRendidas[[#This Row],[usu_codigo]]="","",1)</f>
        <v>1</v>
      </c>
    </row>
    <row r="1038" spans="1:10" x14ac:dyDescent="0.25">
      <c r="A1038">
        <v>1</v>
      </c>
      <c r="B1038">
        <v>3</v>
      </c>
      <c r="C1038" t="s">
        <v>81</v>
      </c>
      <c r="D1038" t="s">
        <v>15</v>
      </c>
      <c r="E1038" t="s">
        <v>68</v>
      </c>
      <c r="F1038">
        <v>92940</v>
      </c>
      <c r="G1038">
        <f>+YEAR(Tabla__192.168.1.8_POSEIDONSQL_APPFVT_01_SQLFacturasRendidas[[#This Row],[f_facturacion]])</f>
        <v>2018</v>
      </c>
      <c r="H103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038">
        <f>+IF(Tabla__192.168.1.8_POSEIDONSQL_APPFVT_01_SQLFacturasRendidas[[#This Row],[epc_nombre]]="RENDIDA",1,0)</f>
        <v>1</v>
      </c>
      <c r="J1038">
        <f>+IF(Tabla__192.168.1.8_POSEIDONSQL_APPFVT_01_SQLFacturasRendidas[[#This Row],[usu_codigo]]="","",1)</f>
        <v>1</v>
      </c>
    </row>
    <row r="1039" spans="1:10" x14ac:dyDescent="0.25">
      <c r="A1039">
        <v>1</v>
      </c>
      <c r="B1039">
        <v>3</v>
      </c>
      <c r="C1039" t="s">
        <v>81</v>
      </c>
      <c r="D1039" t="s">
        <v>15</v>
      </c>
      <c r="E1039" t="s">
        <v>68</v>
      </c>
      <c r="F1039">
        <v>92941</v>
      </c>
      <c r="G1039">
        <f>+YEAR(Tabla__192.168.1.8_POSEIDONSQL_APPFVT_01_SQLFacturasRendidas[[#This Row],[f_facturacion]])</f>
        <v>2018</v>
      </c>
      <c r="H103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039">
        <f>+IF(Tabla__192.168.1.8_POSEIDONSQL_APPFVT_01_SQLFacturasRendidas[[#This Row],[epc_nombre]]="RENDIDA",1,0)</f>
        <v>1</v>
      </c>
      <c r="J1039">
        <f>+IF(Tabla__192.168.1.8_POSEIDONSQL_APPFVT_01_SQLFacturasRendidas[[#This Row],[usu_codigo]]="","",1)</f>
        <v>1</v>
      </c>
    </row>
    <row r="1040" spans="1:10" x14ac:dyDescent="0.25">
      <c r="A1040">
        <v>1</v>
      </c>
      <c r="B1040">
        <v>3</v>
      </c>
      <c r="C1040" t="s">
        <v>81</v>
      </c>
      <c r="D1040" t="s">
        <v>15</v>
      </c>
      <c r="E1040" t="s">
        <v>68</v>
      </c>
      <c r="F1040">
        <v>92942</v>
      </c>
      <c r="G1040">
        <f>+YEAR(Tabla__192.168.1.8_POSEIDONSQL_APPFVT_01_SQLFacturasRendidas[[#This Row],[f_facturacion]])</f>
        <v>2018</v>
      </c>
      <c r="H104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040">
        <f>+IF(Tabla__192.168.1.8_POSEIDONSQL_APPFVT_01_SQLFacturasRendidas[[#This Row],[epc_nombre]]="RENDIDA",1,0)</f>
        <v>1</v>
      </c>
      <c r="J1040">
        <f>+IF(Tabla__192.168.1.8_POSEIDONSQL_APPFVT_01_SQLFacturasRendidas[[#This Row],[usu_codigo]]="","",1)</f>
        <v>1</v>
      </c>
    </row>
    <row r="1041" spans="1:10" x14ac:dyDescent="0.25">
      <c r="A1041">
        <v>1</v>
      </c>
      <c r="B1041">
        <v>3</v>
      </c>
      <c r="C1041" t="s">
        <v>81</v>
      </c>
      <c r="D1041" t="s">
        <v>15</v>
      </c>
      <c r="E1041" t="s">
        <v>68</v>
      </c>
      <c r="F1041">
        <v>92943</v>
      </c>
      <c r="G1041">
        <f>+YEAR(Tabla__192.168.1.8_POSEIDONSQL_APPFVT_01_SQLFacturasRendidas[[#This Row],[f_facturacion]])</f>
        <v>2018</v>
      </c>
      <c r="H104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041">
        <f>+IF(Tabla__192.168.1.8_POSEIDONSQL_APPFVT_01_SQLFacturasRendidas[[#This Row],[epc_nombre]]="RENDIDA",1,0)</f>
        <v>1</v>
      </c>
      <c r="J1041">
        <f>+IF(Tabla__192.168.1.8_POSEIDONSQL_APPFVT_01_SQLFacturasRendidas[[#This Row],[usu_codigo]]="","",1)</f>
        <v>1</v>
      </c>
    </row>
    <row r="1042" spans="1:10" x14ac:dyDescent="0.25">
      <c r="A1042">
        <v>1</v>
      </c>
      <c r="B1042">
        <v>3</v>
      </c>
      <c r="C1042" t="s">
        <v>81</v>
      </c>
      <c r="D1042" t="s">
        <v>15</v>
      </c>
      <c r="E1042" t="s">
        <v>68</v>
      </c>
      <c r="F1042">
        <v>92944</v>
      </c>
      <c r="G1042">
        <f>+YEAR(Tabla__192.168.1.8_POSEIDONSQL_APPFVT_01_SQLFacturasRendidas[[#This Row],[f_facturacion]])</f>
        <v>2018</v>
      </c>
      <c r="H104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042">
        <f>+IF(Tabla__192.168.1.8_POSEIDONSQL_APPFVT_01_SQLFacturasRendidas[[#This Row],[epc_nombre]]="RENDIDA",1,0)</f>
        <v>1</v>
      </c>
      <c r="J1042">
        <f>+IF(Tabla__192.168.1.8_POSEIDONSQL_APPFVT_01_SQLFacturasRendidas[[#This Row],[usu_codigo]]="","",1)</f>
        <v>1</v>
      </c>
    </row>
    <row r="1043" spans="1:10" x14ac:dyDescent="0.25">
      <c r="A1043">
        <v>1</v>
      </c>
      <c r="B1043">
        <v>3</v>
      </c>
      <c r="C1043" t="s">
        <v>81</v>
      </c>
      <c r="D1043" t="s">
        <v>15</v>
      </c>
      <c r="E1043" t="s">
        <v>68</v>
      </c>
      <c r="F1043">
        <v>92945</v>
      </c>
      <c r="G1043">
        <f>+YEAR(Tabla__192.168.1.8_POSEIDONSQL_APPFVT_01_SQLFacturasRendidas[[#This Row],[f_facturacion]])</f>
        <v>2018</v>
      </c>
      <c r="H104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043">
        <f>+IF(Tabla__192.168.1.8_POSEIDONSQL_APPFVT_01_SQLFacturasRendidas[[#This Row],[epc_nombre]]="RENDIDA",1,0)</f>
        <v>1</v>
      </c>
      <c r="J1043">
        <f>+IF(Tabla__192.168.1.8_POSEIDONSQL_APPFVT_01_SQLFacturasRendidas[[#This Row],[usu_codigo]]="","",1)</f>
        <v>1</v>
      </c>
    </row>
    <row r="1044" spans="1:10" x14ac:dyDescent="0.25">
      <c r="A1044">
        <v>1</v>
      </c>
      <c r="B1044">
        <v>3</v>
      </c>
      <c r="C1044" t="s">
        <v>81</v>
      </c>
      <c r="D1044" t="s">
        <v>15</v>
      </c>
      <c r="E1044" t="s">
        <v>68</v>
      </c>
      <c r="F1044">
        <v>92946</v>
      </c>
      <c r="G1044">
        <f>+YEAR(Tabla__192.168.1.8_POSEIDONSQL_APPFVT_01_SQLFacturasRendidas[[#This Row],[f_facturacion]])</f>
        <v>2018</v>
      </c>
      <c r="H104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044">
        <f>+IF(Tabla__192.168.1.8_POSEIDONSQL_APPFVT_01_SQLFacturasRendidas[[#This Row],[epc_nombre]]="RENDIDA",1,0)</f>
        <v>1</v>
      </c>
      <c r="J1044">
        <f>+IF(Tabla__192.168.1.8_POSEIDONSQL_APPFVT_01_SQLFacturasRendidas[[#This Row],[usu_codigo]]="","",1)</f>
        <v>1</v>
      </c>
    </row>
    <row r="1045" spans="1:10" x14ac:dyDescent="0.25">
      <c r="A1045">
        <v>1</v>
      </c>
      <c r="B1045">
        <v>3</v>
      </c>
      <c r="C1045" t="s">
        <v>81</v>
      </c>
      <c r="D1045" t="s">
        <v>15</v>
      </c>
      <c r="E1045" t="s">
        <v>68</v>
      </c>
      <c r="F1045">
        <v>92947</v>
      </c>
      <c r="G1045">
        <f>+YEAR(Tabla__192.168.1.8_POSEIDONSQL_APPFVT_01_SQLFacturasRendidas[[#This Row],[f_facturacion]])</f>
        <v>2018</v>
      </c>
      <c r="H104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045">
        <f>+IF(Tabla__192.168.1.8_POSEIDONSQL_APPFVT_01_SQLFacturasRendidas[[#This Row],[epc_nombre]]="RENDIDA",1,0)</f>
        <v>1</v>
      </c>
      <c r="J1045">
        <f>+IF(Tabla__192.168.1.8_POSEIDONSQL_APPFVT_01_SQLFacturasRendidas[[#This Row],[usu_codigo]]="","",1)</f>
        <v>1</v>
      </c>
    </row>
    <row r="1046" spans="1:10" x14ac:dyDescent="0.25">
      <c r="A1046">
        <v>1</v>
      </c>
      <c r="B1046">
        <v>3</v>
      </c>
      <c r="C1046" t="s">
        <v>81</v>
      </c>
      <c r="D1046" t="s">
        <v>15</v>
      </c>
      <c r="E1046" t="s">
        <v>68</v>
      </c>
      <c r="F1046">
        <v>92948</v>
      </c>
      <c r="G1046">
        <f>+YEAR(Tabla__192.168.1.8_POSEIDONSQL_APPFVT_01_SQLFacturasRendidas[[#This Row],[f_facturacion]])</f>
        <v>2018</v>
      </c>
      <c r="H104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046">
        <f>+IF(Tabla__192.168.1.8_POSEIDONSQL_APPFVT_01_SQLFacturasRendidas[[#This Row],[epc_nombre]]="RENDIDA",1,0)</f>
        <v>1</v>
      </c>
      <c r="J1046">
        <f>+IF(Tabla__192.168.1.8_POSEIDONSQL_APPFVT_01_SQLFacturasRendidas[[#This Row],[usu_codigo]]="","",1)</f>
        <v>1</v>
      </c>
    </row>
    <row r="1047" spans="1:10" x14ac:dyDescent="0.25">
      <c r="A1047">
        <v>1</v>
      </c>
      <c r="B1047">
        <v>3</v>
      </c>
      <c r="C1047" t="s">
        <v>81</v>
      </c>
      <c r="D1047" t="s">
        <v>15</v>
      </c>
      <c r="E1047" t="s">
        <v>29</v>
      </c>
      <c r="F1047">
        <v>93209</v>
      </c>
      <c r="G1047">
        <f>+YEAR(Tabla__192.168.1.8_POSEIDONSQL_APPFVT_01_SQLFacturasRendidas[[#This Row],[f_facturacion]])</f>
        <v>2018</v>
      </c>
      <c r="H104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047">
        <f>+IF(Tabla__192.168.1.8_POSEIDONSQL_APPFVT_01_SQLFacturasRendidas[[#This Row],[epc_nombre]]="RENDIDA",1,0)</f>
        <v>1</v>
      </c>
      <c r="J1047">
        <f>+IF(Tabla__192.168.1.8_POSEIDONSQL_APPFVT_01_SQLFacturasRendidas[[#This Row],[usu_codigo]]="","",1)</f>
        <v>1</v>
      </c>
    </row>
    <row r="1048" spans="1:10" x14ac:dyDescent="0.25">
      <c r="A1048">
        <v>1</v>
      </c>
      <c r="B1048">
        <v>3</v>
      </c>
      <c r="C1048" t="s">
        <v>81</v>
      </c>
      <c r="D1048" t="s">
        <v>15</v>
      </c>
      <c r="E1048" t="s">
        <v>29</v>
      </c>
      <c r="F1048">
        <v>93210</v>
      </c>
      <c r="G1048">
        <f>+YEAR(Tabla__192.168.1.8_POSEIDONSQL_APPFVT_01_SQLFacturasRendidas[[#This Row],[f_facturacion]])</f>
        <v>2018</v>
      </c>
      <c r="H104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048">
        <f>+IF(Tabla__192.168.1.8_POSEIDONSQL_APPFVT_01_SQLFacturasRendidas[[#This Row],[epc_nombre]]="RENDIDA",1,0)</f>
        <v>1</v>
      </c>
      <c r="J1048">
        <f>+IF(Tabla__192.168.1.8_POSEIDONSQL_APPFVT_01_SQLFacturasRendidas[[#This Row],[usu_codigo]]="","",1)</f>
        <v>1</v>
      </c>
    </row>
    <row r="1049" spans="1:10" x14ac:dyDescent="0.25">
      <c r="A1049">
        <v>1</v>
      </c>
      <c r="B1049">
        <v>3</v>
      </c>
      <c r="C1049" t="s">
        <v>81</v>
      </c>
      <c r="D1049" t="s">
        <v>15</v>
      </c>
      <c r="E1049" t="s">
        <v>29</v>
      </c>
      <c r="F1049">
        <v>93211</v>
      </c>
      <c r="G1049">
        <f>+YEAR(Tabla__192.168.1.8_POSEIDONSQL_APPFVT_01_SQLFacturasRendidas[[#This Row],[f_facturacion]])</f>
        <v>2018</v>
      </c>
      <c r="H104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049">
        <f>+IF(Tabla__192.168.1.8_POSEIDONSQL_APPFVT_01_SQLFacturasRendidas[[#This Row],[epc_nombre]]="RENDIDA",1,0)</f>
        <v>1</v>
      </c>
      <c r="J1049">
        <f>+IF(Tabla__192.168.1.8_POSEIDONSQL_APPFVT_01_SQLFacturasRendidas[[#This Row],[usu_codigo]]="","",1)</f>
        <v>1</v>
      </c>
    </row>
    <row r="1050" spans="1:10" x14ac:dyDescent="0.25">
      <c r="A1050">
        <v>1</v>
      </c>
      <c r="B1050">
        <v>3</v>
      </c>
      <c r="C1050" t="s">
        <v>81</v>
      </c>
      <c r="D1050" t="s">
        <v>15</v>
      </c>
      <c r="E1050" t="s">
        <v>29</v>
      </c>
      <c r="F1050">
        <v>93212</v>
      </c>
      <c r="G1050">
        <f>+YEAR(Tabla__192.168.1.8_POSEIDONSQL_APPFVT_01_SQLFacturasRendidas[[#This Row],[f_facturacion]])</f>
        <v>2018</v>
      </c>
      <c r="H105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050">
        <f>+IF(Tabla__192.168.1.8_POSEIDONSQL_APPFVT_01_SQLFacturasRendidas[[#This Row],[epc_nombre]]="RENDIDA",1,0)</f>
        <v>1</v>
      </c>
      <c r="J1050">
        <f>+IF(Tabla__192.168.1.8_POSEIDONSQL_APPFVT_01_SQLFacturasRendidas[[#This Row],[usu_codigo]]="","",1)</f>
        <v>1</v>
      </c>
    </row>
    <row r="1051" spans="1:10" x14ac:dyDescent="0.25">
      <c r="A1051">
        <v>1</v>
      </c>
      <c r="B1051">
        <v>3</v>
      </c>
      <c r="C1051" t="s">
        <v>81</v>
      </c>
      <c r="D1051" t="s">
        <v>15</v>
      </c>
      <c r="E1051" t="s">
        <v>29</v>
      </c>
      <c r="F1051">
        <v>93213</v>
      </c>
      <c r="G1051">
        <f>+YEAR(Tabla__192.168.1.8_POSEIDONSQL_APPFVT_01_SQLFacturasRendidas[[#This Row],[f_facturacion]])</f>
        <v>2018</v>
      </c>
      <c r="H105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051">
        <f>+IF(Tabla__192.168.1.8_POSEIDONSQL_APPFVT_01_SQLFacturasRendidas[[#This Row],[epc_nombre]]="RENDIDA",1,0)</f>
        <v>1</v>
      </c>
      <c r="J1051">
        <f>+IF(Tabla__192.168.1.8_POSEIDONSQL_APPFVT_01_SQLFacturasRendidas[[#This Row],[usu_codigo]]="","",1)</f>
        <v>1</v>
      </c>
    </row>
    <row r="1052" spans="1:10" x14ac:dyDescent="0.25">
      <c r="A1052">
        <v>1</v>
      </c>
      <c r="B1052">
        <v>3</v>
      </c>
      <c r="C1052" t="s">
        <v>81</v>
      </c>
      <c r="D1052" t="s">
        <v>15</v>
      </c>
      <c r="E1052" t="s">
        <v>29</v>
      </c>
      <c r="F1052">
        <v>93214</v>
      </c>
      <c r="G1052">
        <f>+YEAR(Tabla__192.168.1.8_POSEIDONSQL_APPFVT_01_SQLFacturasRendidas[[#This Row],[f_facturacion]])</f>
        <v>2018</v>
      </c>
      <c r="H105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052">
        <f>+IF(Tabla__192.168.1.8_POSEIDONSQL_APPFVT_01_SQLFacturasRendidas[[#This Row],[epc_nombre]]="RENDIDA",1,0)</f>
        <v>1</v>
      </c>
      <c r="J1052">
        <f>+IF(Tabla__192.168.1.8_POSEIDONSQL_APPFVT_01_SQLFacturasRendidas[[#This Row],[usu_codigo]]="","",1)</f>
        <v>1</v>
      </c>
    </row>
    <row r="1053" spans="1:10" x14ac:dyDescent="0.25">
      <c r="A1053">
        <v>1</v>
      </c>
      <c r="B1053">
        <v>3</v>
      </c>
      <c r="C1053" t="s">
        <v>81</v>
      </c>
      <c r="D1053" t="s">
        <v>15</v>
      </c>
      <c r="E1053" t="s">
        <v>29</v>
      </c>
      <c r="F1053">
        <v>93215</v>
      </c>
      <c r="G1053">
        <f>+YEAR(Tabla__192.168.1.8_POSEIDONSQL_APPFVT_01_SQLFacturasRendidas[[#This Row],[f_facturacion]])</f>
        <v>2018</v>
      </c>
      <c r="H105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053">
        <f>+IF(Tabla__192.168.1.8_POSEIDONSQL_APPFVT_01_SQLFacturasRendidas[[#This Row],[epc_nombre]]="RENDIDA",1,0)</f>
        <v>1</v>
      </c>
      <c r="J1053">
        <f>+IF(Tabla__192.168.1.8_POSEIDONSQL_APPFVT_01_SQLFacturasRendidas[[#This Row],[usu_codigo]]="","",1)</f>
        <v>1</v>
      </c>
    </row>
    <row r="1054" spans="1:10" x14ac:dyDescent="0.25">
      <c r="A1054">
        <v>1</v>
      </c>
      <c r="B1054">
        <v>3</v>
      </c>
      <c r="C1054" t="s">
        <v>81</v>
      </c>
      <c r="D1054" t="s">
        <v>15</v>
      </c>
      <c r="E1054" t="s">
        <v>29</v>
      </c>
      <c r="F1054">
        <v>93216</v>
      </c>
      <c r="G1054">
        <f>+YEAR(Tabla__192.168.1.8_POSEIDONSQL_APPFVT_01_SQLFacturasRendidas[[#This Row],[f_facturacion]])</f>
        <v>2018</v>
      </c>
      <c r="H105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054">
        <f>+IF(Tabla__192.168.1.8_POSEIDONSQL_APPFVT_01_SQLFacturasRendidas[[#This Row],[epc_nombre]]="RENDIDA",1,0)</f>
        <v>1</v>
      </c>
      <c r="J1054">
        <f>+IF(Tabla__192.168.1.8_POSEIDONSQL_APPFVT_01_SQLFacturasRendidas[[#This Row],[usu_codigo]]="","",1)</f>
        <v>1</v>
      </c>
    </row>
    <row r="1055" spans="1:10" x14ac:dyDescent="0.25">
      <c r="A1055">
        <v>1</v>
      </c>
      <c r="B1055">
        <v>3</v>
      </c>
      <c r="C1055" t="s">
        <v>81</v>
      </c>
      <c r="D1055" t="s">
        <v>15</v>
      </c>
      <c r="E1055" t="s">
        <v>55</v>
      </c>
      <c r="F1055">
        <v>93276</v>
      </c>
      <c r="G1055">
        <f>+YEAR(Tabla__192.168.1.8_POSEIDONSQL_APPFVT_01_SQLFacturasRendidas[[#This Row],[f_facturacion]])</f>
        <v>2018</v>
      </c>
      <c r="H105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055">
        <f>+IF(Tabla__192.168.1.8_POSEIDONSQL_APPFVT_01_SQLFacturasRendidas[[#This Row],[epc_nombre]]="RENDIDA",1,0)</f>
        <v>1</v>
      </c>
      <c r="J1055">
        <f>+IF(Tabla__192.168.1.8_POSEIDONSQL_APPFVT_01_SQLFacturasRendidas[[#This Row],[usu_codigo]]="","",1)</f>
        <v>1</v>
      </c>
    </row>
    <row r="1056" spans="1:10" x14ac:dyDescent="0.25">
      <c r="A1056">
        <v>1</v>
      </c>
      <c r="B1056">
        <v>3</v>
      </c>
      <c r="C1056" t="s">
        <v>81</v>
      </c>
      <c r="D1056" t="s">
        <v>15</v>
      </c>
      <c r="E1056" t="s">
        <v>55</v>
      </c>
      <c r="F1056">
        <v>93277</v>
      </c>
      <c r="G1056">
        <f>+YEAR(Tabla__192.168.1.8_POSEIDONSQL_APPFVT_01_SQLFacturasRendidas[[#This Row],[f_facturacion]])</f>
        <v>2018</v>
      </c>
      <c r="H105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056">
        <f>+IF(Tabla__192.168.1.8_POSEIDONSQL_APPFVT_01_SQLFacturasRendidas[[#This Row],[epc_nombre]]="RENDIDA",1,0)</f>
        <v>1</v>
      </c>
      <c r="J1056">
        <f>+IF(Tabla__192.168.1.8_POSEIDONSQL_APPFVT_01_SQLFacturasRendidas[[#This Row],[usu_codigo]]="","",1)</f>
        <v>1</v>
      </c>
    </row>
    <row r="1057" spans="1:10" x14ac:dyDescent="0.25">
      <c r="A1057">
        <v>1</v>
      </c>
      <c r="B1057">
        <v>3</v>
      </c>
      <c r="C1057" t="s">
        <v>81</v>
      </c>
      <c r="D1057" t="s">
        <v>15</v>
      </c>
      <c r="E1057" t="s">
        <v>55</v>
      </c>
      <c r="F1057">
        <v>93278</v>
      </c>
      <c r="G1057">
        <f>+YEAR(Tabla__192.168.1.8_POSEIDONSQL_APPFVT_01_SQLFacturasRendidas[[#This Row],[f_facturacion]])</f>
        <v>2018</v>
      </c>
      <c r="H105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057">
        <f>+IF(Tabla__192.168.1.8_POSEIDONSQL_APPFVT_01_SQLFacturasRendidas[[#This Row],[epc_nombre]]="RENDIDA",1,0)</f>
        <v>1</v>
      </c>
      <c r="J1057">
        <f>+IF(Tabla__192.168.1.8_POSEIDONSQL_APPFVT_01_SQLFacturasRendidas[[#This Row],[usu_codigo]]="","",1)</f>
        <v>1</v>
      </c>
    </row>
    <row r="1058" spans="1:10" x14ac:dyDescent="0.25">
      <c r="A1058">
        <v>1</v>
      </c>
      <c r="B1058">
        <v>3</v>
      </c>
      <c r="C1058" t="s">
        <v>81</v>
      </c>
      <c r="D1058" t="s">
        <v>15</v>
      </c>
      <c r="E1058" t="s">
        <v>55</v>
      </c>
      <c r="F1058">
        <v>93279</v>
      </c>
      <c r="G1058">
        <f>+YEAR(Tabla__192.168.1.8_POSEIDONSQL_APPFVT_01_SQLFacturasRendidas[[#This Row],[f_facturacion]])</f>
        <v>2018</v>
      </c>
      <c r="H105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058">
        <f>+IF(Tabla__192.168.1.8_POSEIDONSQL_APPFVT_01_SQLFacturasRendidas[[#This Row],[epc_nombre]]="RENDIDA",1,0)</f>
        <v>1</v>
      </c>
      <c r="J1058">
        <f>+IF(Tabla__192.168.1.8_POSEIDONSQL_APPFVT_01_SQLFacturasRendidas[[#This Row],[usu_codigo]]="","",1)</f>
        <v>1</v>
      </c>
    </row>
    <row r="1059" spans="1:10" x14ac:dyDescent="0.25">
      <c r="A1059">
        <v>1</v>
      </c>
      <c r="B1059">
        <v>3</v>
      </c>
      <c r="C1059" t="s">
        <v>81</v>
      </c>
      <c r="D1059" t="s">
        <v>15</v>
      </c>
      <c r="E1059" t="s">
        <v>55</v>
      </c>
      <c r="F1059">
        <v>93280</v>
      </c>
      <c r="G1059">
        <f>+YEAR(Tabla__192.168.1.8_POSEIDONSQL_APPFVT_01_SQLFacturasRendidas[[#This Row],[f_facturacion]])</f>
        <v>2018</v>
      </c>
      <c r="H105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059">
        <f>+IF(Tabla__192.168.1.8_POSEIDONSQL_APPFVT_01_SQLFacturasRendidas[[#This Row],[epc_nombre]]="RENDIDA",1,0)</f>
        <v>1</v>
      </c>
      <c r="J1059">
        <f>+IF(Tabla__192.168.1.8_POSEIDONSQL_APPFVT_01_SQLFacturasRendidas[[#This Row],[usu_codigo]]="","",1)</f>
        <v>1</v>
      </c>
    </row>
    <row r="1060" spans="1:10" x14ac:dyDescent="0.25">
      <c r="A1060">
        <v>1</v>
      </c>
      <c r="B1060">
        <v>3</v>
      </c>
      <c r="C1060" t="s">
        <v>81</v>
      </c>
      <c r="D1060" t="s">
        <v>15</v>
      </c>
      <c r="E1060" t="s">
        <v>55</v>
      </c>
      <c r="F1060">
        <v>93281</v>
      </c>
      <c r="G1060">
        <f>+YEAR(Tabla__192.168.1.8_POSEIDONSQL_APPFVT_01_SQLFacturasRendidas[[#This Row],[f_facturacion]])</f>
        <v>2018</v>
      </c>
      <c r="H106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060">
        <f>+IF(Tabla__192.168.1.8_POSEIDONSQL_APPFVT_01_SQLFacturasRendidas[[#This Row],[epc_nombre]]="RENDIDA",1,0)</f>
        <v>1</v>
      </c>
      <c r="J1060">
        <f>+IF(Tabla__192.168.1.8_POSEIDONSQL_APPFVT_01_SQLFacturasRendidas[[#This Row],[usu_codigo]]="","",1)</f>
        <v>1</v>
      </c>
    </row>
    <row r="1061" spans="1:10" x14ac:dyDescent="0.25">
      <c r="A1061">
        <v>1</v>
      </c>
      <c r="B1061">
        <v>3</v>
      </c>
      <c r="C1061" t="s">
        <v>81</v>
      </c>
      <c r="D1061" t="s">
        <v>15</v>
      </c>
      <c r="E1061" t="s">
        <v>55</v>
      </c>
      <c r="F1061">
        <v>93282</v>
      </c>
      <c r="G1061">
        <f>+YEAR(Tabla__192.168.1.8_POSEIDONSQL_APPFVT_01_SQLFacturasRendidas[[#This Row],[f_facturacion]])</f>
        <v>2018</v>
      </c>
      <c r="H106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061">
        <f>+IF(Tabla__192.168.1.8_POSEIDONSQL_APPFVT_01_SQLFacturasRendidas[[#This Row],[epc_nombre]]="RENDIDA",1,0)</f>
        <v>1</v>
      </c>
      <c r="J1061">
        <f>+IF(Tabla__192.168.1.8_POSEIDONSQL_APPFVT_01_SQLFacturasRendidas[[#This Row],[usu_codigo]]="","",1)</f>
        <v>1</v>
      </c>
    </row>
    <row r="1062" spans="1:10" x14ac:dyDescent="0.25">
      <c r="A1062">
        <v>1</v>
      </c>
      <c r="B1062">
        <v>3</v>
      </c>
      <c r="C1062" t="s">
        <v>81</v>
      </c>
      <c r="D1062" t="s">
        <v>15</v>
      </c>
      <c r="E1062" t="s">
        <v>55</v>
      </c>
      <c r="F1062">
        <v>93283</v>
      </c>
      <c r="G1062">
        <f>+YEAR(Tabla__192.168.1.8_POSEIDONSQL_APPFVT_01_SQLFacturasRendidas[[#This Row],[f_facturacion]])</f>
        <v>2018</v>
      </c>
      <c r="H106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062">
        <f>+IF(Tabla__192.168.1.8_POSEIDONSQL_APPFVT_01_SQLFacturasRendidas[[#This Row],[epc_nombre]]="RENDIDA",1,0)</f>
        <v>1</v>
      </c>
      <c r="J1062">
        <f>+IF(Tabla__192.168.1.8_POSEIDONSQL_APPFVT_01_SQLFacturasRendidas[[#This Row],[usu_codigo]]="","",1)</f>
        <v>1</v>
      </c>
    </row>
    <row r="1063" spans="1:10" x14ac:dyDescent="0.25">
      <c r="A1063">
        <v>1</v>
      </c>
      <c r="B1063">
        <v>3</v>
      </c>
      <c r="C1063" t="s">
        <v>81</v>
      </c>
      <c r="D1063" t="s">
        <v>15</v>
      </c>
      <c r="E1063" t="s">
        <v>55</v>
      </c>
      <c r="F1063">
        <v>93284</v>
      </c>
      <c r="G1063">
        <f>+YEAR(Tabla__192.168.1.8_POSEIDONSQL_APPFVT_01_SQLFacturasRendidas[[#This Row],[f_facturacion]])</f>
        <v>2018</v>
      </c>
      <c r="H106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063">
        <f>+IF(Tabla__192.168.1.8_POSEIDONSQL_APPFVT_01_SQLFacturasRendidas[[#This Row],[epc_nombre]]="RENDIDA",1,0)</f>
        <v>1</v>
      </c>
      <c r="J1063">
        <f>+IF(Tabla__192.168.1.8_POSEIDONSQL_APPFVT_01_SQLFacturasRendidas[[#This Row],[usu_codigo]]="","",1)</f>
        <v>1</v>
      </c>
    </row>
    <row r="1064" spans="1:10" x14ac:dyDescent="0.25">
      <c r="A1064">
        <v>1</v>
      </c>
      <c r="B1064">
        <v>3</v>
      </c>
      <c r="C1064" t="s">
        <v>81</v>
      </c>
      <c r="D1064" t="s">
        <v>15</v>
      </c>
      <c r="E1064" t="s">
        <v>55</v>
      </c>
      <c r="F1064">
        <v>93285</v>
      </c>
      <c r="G1064">
        <f>+YEAR(Tabla__192.168.1.8_POSEIDONSQL_APPFVT_01_SQLFacturasRendidas[[#This Row],[f_facturacion]])</f>
        <v>2018</v>
      </c>
      <c r="H106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064">
        <f>+IF(Tabla__192.168.1.8_POSEIDONSQL_APPFVT_01_SQLFacturasRendidas[[#This Row],[epc_nombre]]="RENDIDA",1,0)</f>
        <v>1</v>
      </c>
      <c r="J1064">
        <f>+IF(Tabla__192.168.1.8_POSEIDONSQL_APPFVT_01_SQLFacturasRendidas[[#This Row],[usu_codigo]]="","",1)</f>
        <v>1</v>
      </c>
    </row>
    <row r="1065" spans="1:10" x14ac:dyDescent="0.25">
      <c r="A1065">
        <v>1</v>
      </c>
      <c r="B1065">
        <v>3</v>
      </c>
      <c r="C1065" t="s">
        <v>81</v>
      </c>
      <c r="D1065" t="s">
        <v>15</v>
      </c>
      <c r="E1065" t="s">
        <v>55</v>
      </c>
      <c r="F1065">
        <v>93286</v>
      </c>
      <c r="G1065">
        <f>+YEAR(Tabla__192.168.1.8_POSEIDONSQL_APPFVT_01_SQLFacturasRendidas[[#This Row],[f_facturacion]])</f>
        <v>2018</v>
      </c>
      <c r="H106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065">
        <f>+IF(Tabla__192.168.1.8_POSEIDONSQL_APPFVT_01_SQLFacturasRendidas[[#This Row],[epc_nombre]]="RENDIDA",1,0)</f>
        <v>1</v>
      </c>
      <c r="J1065">
        <f>+IF(Tabla__192.168.1.8_POSEIDONSQL_APPFVT_01_SQLFacturasRendidas[[#This Row],[usu_codigo]]="","",1)</f>
        <v>1</v>
      </c>
    </row>
    <row r="1066" spans="1:10" x14ac:dyDescent="0.25">
      <c r="A1066">
        <v>1</v>
      </c>
      <c r="B1066">
        <v>3</v>
      </c>
      <c r="C1066" t="s">
        <v>81</v>
      </c>
      <c r="D1066" t="s">
        <v>15</v>
      </c>
      <c r="E1066" t="s">
        <v>55</v>
      </c>
      <c r="F1066">
        <v>93287</v>
      </c>
      <c r="G1066">
        <f>+YEAR(Tabla__192.168.1.8_POSEIDONSQL_APPFVT_01_SQLFacturasRendidas[[#This Row],[f_facturacion]])</f>
        <v>2018</v>
      </c>
      <c r="H106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066">
        <f>+IF(Tabla__192.168.1.8_POSEIDONSQL_APPFVT_01_SQLFacturasRendidas[[#This Row],[epc_nombre]]="RENDIDA",1,0)</f>
        <v>1</v>
      </c>
      <c r="J1066">
        <f>+IF(Tabla__192.168.1.8_POSEIDONSQL_APPFVT_01_SQLFacturasRendidas[[#This Row],[usu_codigo]]="","",1)</f>
        <v>1</v>
      </c>
    </row>
    <row r="1067" spans="1:10" x14ac:dyDescent="0.25">
      <c r="A1067">
        <v>1</v>
      </c>
      <c r="B1067">
        <v>3</v>
      </c>
      <c r="C1067" t="s">
        <v>81</v>
      </c>
      <c r="D1067" t="s">
        <v>15</v>
      </c>
      <c r="E1067" t="s">
        <v>55</v>
      </c>
      <c r="F1067">
        <v>93288</v>
      </c>
      <c r="G1067">
        <f>+YEAR(Tabla__192.168.1.8_POSEIDONSQL_APPFVT_01_SQLFacturasRendidas[[#This Row],[f_facturacion]])</f>
        <v>2018</v>
      </c>
      <c r="H106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067">
        <f>+IF(Tabla__192.168.1.8_POSEIDONSQL_APPFVT_01_SQLFacturasRendidas[[#This Row],[epc_nombre]]="RENDIDA",1,0)</f>
        <v>1</v>
      </c>
      <c r="J1067">
        <f>+IF(Tabla__192.168.1.8_POSEIDONSQL_APPFVT_01_SQLFacturasRendidas[[#This Row],[usu_codigo]]="","",1)</f>
        <v>1</v>
      </c>
    </row>
    <row r="1068" spans="1:10" x14ac:dyDescent="0.25">
      <c r="A1068">
        <v>1</v>
      </c>
      <c r="B1068">
        <v>3</v>
      </c>
      <c r="C1068" t="s">
        <v>81</v>
      </c>
      <c r="D1068" t="s">
        <v>15</v>
      </c>
      <c r="E1068" t="s">
        <v>55</v>
      </c>
      <c r="F1068">
        <v>93289</v>
      </c>
      <c r="G1068">
        <f>+YEAR(Tabla__192.168.1.8_POSEIDONSQL_APPFVT_01_SQLFacturasRendidas[[#This Row],[f_facturacion]])</f>
        <v>2018</v>
      </c>
      <c r="H106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068">
        <f>+IF(Tabla__192.168.1.8_POSEIDONSQL_APPFVT_01_SQLFacturasRendidas[[#This Row],[epc_nombre]]="RENDIDA",1,0)</f>
        <v>1</v>
      </c>
      <c r="J1068">
        <f>+IF(Tabla__192.168.1.8_POSEIDONSQL_APPFVT_01_SQLFacturasRendidas[[#This Row],[usu_codigo]]="","",1)</f>
        <v>1</v>
      </c>
    </row>
    <row r="1069" spans="1:10" x14ac:dyDescent="0.25">
      <c r="A1069">
        <v>1</v>
      </c>
      <c r="B1069">
        <v>3</v>
      </c>
      <c r="C1069" t="s">
        <v>81</v>
      </c>
      <c r="D1069" t="s">
        <v>15</v>
      </c>
      <c r="E1069" t="s">
        <v>55</v>
      </c>
      <c r="F1069">
        <v>93290</v>
      </c>
      <c r="G1069">
        <f>+YEAR(Tabla__192.168.1.8_POSEIDONSQL_APPFVT_01_SQLFacturasRendidas[[#This Row],[f_facturacion]])</f>
        <v>2018</v>
      </c>
      <c r="H106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069">
        <f>+IF(Tabla__192.168.1.8_POSEIDONSQL_APPFVT_01_SQLFacturasRendidas[[#This Row],[epc_nombre]]="RENDIDA",1,0)</f>
        <v>1</v>
      </c>
      <c r="J1069">
        <f>+IF(Tabla__192.168.1.8_POSEIDONSQL_APPFVT_01_SQLFacturasRendidas[[#This Row],[usu_codigo]]="","",1)</f>
        <v>1</v>
      </c>
    </row>
    <row r="1070" spans="1:10" x14ac:dyDescent="0.25">
      <c r="A1070">
        <v>1</v>
      </c>
      <c r="B1070">
        <v>3</v>
      </c>
      <c r="C1070" t="s">
        <v>81</v>
      </c>
      <c r="D1070" t="s">
        <v>15</v>
      </c>
      <c r="E1070" t="s">
        <v>55</v>
      </c>
      <c r="F1070">
        <v>93291</v>
      </c>
      <c r="G1070">
        <f>+YEAR(Tabla__192.168.1.8_POSEIDONSQL_APPFVT_01_SQLFacturasRendidas[[#This Row],[f_facturacion]])</f>
        <v>2018</v>
      </c>
      <c r="H107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070">
        <f>+IF(Tabla__192.168.1.8_POSEIDONSQL_APPFVT_01_SQLFacturasRendidas[[#This Row],[epc_nombre]]="RENDIDA",1,0)</f>
        <v>1</v>
      </c>
      <c r="J1070">
        <f>+IF(Tabla__192.168.1.8_POSEIDONSQL_APPFVT_01_SQLFacturasRendidas[[#This Row],[usu_codigo]]="","",1)</f>
        <v>1</v>
      </c>
    </row>
    <row r="1071" spans="1:10" x14ac:dyDescent="0.25">
      <c r="A1071">
        <v>1</v>
      </c>
      <c r="B1071">
        <v>3</v>
      </c>
      <c r="C1071" t="s">
        <v>81</v>
      </c>
      <c r="D1071" t="s">
        <v>15</v>
      </c>
      <c r="E1071" t="s">
        <v>55</v>
      </c>
      <c r="F1071">
        <v>93292</v>
      </c>
      <c r="G1071">
        <f>+YEAR(Tabla__192.168.1.8_POSEIDONSQL_APPFVT_01_SQLFacturasRendidas[[#This Row],[f_facturacion]])</f>
        <v>2018</v>
      </c>
      <c r="H107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071">
        <f>+IF(Tabla__192.168.1.8_POSEIDONSQL_APPFVT_01_SQLFacturasRendidas[[#This Row],[epc_nombre]]="RENDIDA",1,0)</f>
        <v>1</v>
      </c>
      <c r="J1071">
        <f>+IF(Tabla__192.168.1.8_POSEIDONSQL_APPFVT_01_SQLFacturasRendidas[[#This Row],[usu_codigo]]="","",1)</f>
        <v>1</v>
      </c>
    </row>
    <row r="1072" spans="1:10" x14ac:dyDescent="0.25">
      <c r="A1072">
        <v>1</v>
      </c>
      <c r="B1072">
        <v>3</v>
      </c>
      <c r="C1072" t="s">
        <v>81</v>
      </c>
      <c r="D1072" t="s">
        <v>15</v>
      </c>
      <c r="E1072" t="s">
        <v>55</v>
      </c>
      <c r="F1072">
        <v>93293</v>
      </c>
      <c r="G1072">
        <f>+YEAR(Tabla__192.168.1.8_POSEIDONSQL_APPFVT_01_SQLFacturasRendidas[[#This Row],[f_facturacion]])</f>
        <v>2018</v>
      </c>
      <c r="H107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072">
        <f>+IF(Tabla__192.168.1.8_POSEIDONSQL_APPFVT_01_SQLFacturasRendidas[[#This Row],[epc_nombre]]="RENDIDA",1,0)</f>
        <v>1</v>
      </c>
      <c r="J1072">
        <f>+IF(Tabla__192.168.1.8_POSEIDONSQL_APPFVT_01_SQLFacturasRendidas[[#This Row],[usu_codigo]]="","",1)</f>
        <v>1</v>
      </c>
    </row>
    <row r="1073" spans="1:10" x14ac:dyDescent="0.25">
      <c r="A1073">
        <v>1</v>
      </c>
      <c r="B1073">
        <v>3</v>
      </c>
      <c r="C1073" t="s">
        <v>81</v>
      </c>
      <c r="D1073" t="s">
        <v>15</v>
      </c>
      <c r="E1073" t="s">
        <v>55</v>
      </c>
      <c r="F1073">
        <v>93294</v>
      </c>
      <c r="G1073">
        <f>+YEAR(Tabla__192.168.1.8_POSEIDONSQL_APPFVT_01_SQLFacturasRendidas[[#This Row],[f_facturacion]])</f>
        <v>2018</v>
      </c>
      <c r="H107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073">
        <f>+IF(Tabla__192.168.1.8_POSEIDONSQL_APPFVT_01_SQLFacturasRendidas[[#This Row],[epc_nombre]]="RENDIDA",1,0)</f>
        <v>1</v>
      </c>
      <c r="J1073">
        <f>+IF(Tabla__192.168.1.8_POSEIDONSQL_APPFVT_01_SQLFacturasRendidas[[#This Row],[usu_codigo]]="","",1)</f>
        <v>1</v>
      </c>
    </row>
    <row r="1074" spans="1:10" x14ac:dyDescent="0.25">
      <c r="A1074">
        <v>1</v>
      </c>
      <c r="B1074">
        <v>3</v>
      </c>
      <c r="C1074" t="s">
        <v>81</v>
      </c>
      <c r="D1074" t="s">
        <v>15</v>
      </c>
      <c r="E1074" t="s">
        <v>55</v>
      </c>
      <c r="F1074">
        <v>93295</v>
      </c>
      <c r="G1074">
        <f>+YEAR(Tabla__192.168.1.8_POSEIDONSQL_APPFVT_01_SQLFacturasRendidas[[#This Row],[f_facturacion]])</f>
        <v>2018</v>
      </c>
      <c r="H107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074">
        <f>+IF(Tabla__192.168.1.8_POSEIDONSQL_APPFVT_01_SQLFacturasRendidas[[#This Row],[epc_nombre]]="RENDIDA",1,0)</f>
        <v>1</v>
      </c>
      <c r="J1074">
        <f>+IF(Tabla__192.168.1.8_POSEIDONSQL_APPFVT_01_SQLFacturasRendidas[[#This Row],[usu_codigo]]="","",1)</f>
        <v>1</v>
      </c>
    </row>
    <row r="1075" spans="1:10" x14ac:dyDescent="0.25">
      <c r="A1075">
        <v>1</v>
      </c>
      <c r="B1075">
        <v>3</v>
      </c>
      <c r="C1075" t="s">
        <v>81</v>
      </c>
      <c r="D1075" t="s">
        <v>15</v>
      </c>
      <c r="E1075" t="s">
        <v>30</v>
      </c>
      <c r="F1075">
        <v>93371</v>
      </c>
      <c r="G1075">
        <f>+YEAR(Tabla__192.168.1.8_POSEIDONSQL_APPFVT_01_SQLFacturasRendidas[[#This Row],[f_facturacion]])</f>
        <v>2018</v>
      </c>
      <c r="H107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075">
        <f>+IF(Tabla__192.168.1.8_POSEIDONSQL_APPFVT_01_SQLFacturasRendidas[[#This Row],[epc_nombre]]="RENDIDA",1,0)</f>
        <v>1</v>
      </c>
      <c r="J1075">
        <f>+IF(Tabla__192.168.1.8_POSEIDONSQL_APPFVT_01_SQLFacturasRendidas[[#This Row],[usu_codigo]]="","",1)</f>
        <v>1</v>
      </c>
    </row>
    <row r="1076" spans="1:10" x14ac:dyDescent="0.25">
      <c r="A1076">
        <v>1</v>
      </c>
      <c r="B1076">
        <v>3</v>
      </c>
      <c r="C1076" t="s">
        <v>81</v>
      </c>
      <c r="D1076" t="s">
        <v>15</v>
      </c>
      <c r="E1076" t="s">
        <v>30</v>
      </c>
      <c r="F1076">
        <v>93372</v>
      </c>
      <c r="G1076">
        <f>+YEAR(Tabla__192.168.1.8_POSEIDONSQL_APPFVT_01_SQLFacturasRendidas[[#This Row],[f_facturacion]])</f>
        <v>2018</v>
      </c>
      <c r="H107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076">
        <f>+IF(Tabla__192.168.1.8_POSEIDONSQL_APPFVT_01_SQLFacturasRendidas[[#This Row],[epc_nombre]]="RENDIDA",1,0)</f>
        <v>1</v>
      </c>
      <c r="J1076">
        <f>+IF(Tabla__192.168.1.8_POSEIDONSQL_APPFVT_01_SQLFacturasRendidas[[#This Row],[usu_codigo]]="","",1)</f>
        <v>1</v>
      </c>
    </row>
    <row r="1077" spans="1:10" x14ac:dyDescent="0.25">
      <c r="A1077">
        <v>1</v>
      </c>
      <c r="B1077">
        <v>3</v>
      </c>
      <c r="C1077" t="s">
        <v>81</v>
      </c>
      <c r="D1077" t="s">
        <v>15</v>
      </c>
      <c r="E1077" t="s">
        <v>30</v>
      </c>
      <c r="F1077">
        <v>93373</v>
      </c>
      <c r="G1077">
        <f>+YEAR(Tabla__192.168.1.8_POSEIDONSQL_APPFVT_01_SQLFacturasRendidas[[#This Row],[f_facturacion]])</f>
        <v>2018</v>
      </c>
      <c r="H107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077">
        <f>+IF(Tabla__192.168.1.8_POSEIDONSQL_APPFVT_01_SQLFacturasRendidas[[#This Row],[epc_nombre]]="RENDIDA",1,0)</f>
        <v>1</v>
      </c>
      <c r="J1077">
        <f>+IF(Tabla__192.168.1.8_POSEIDONSQL_APPFVT_01_SQLFacturasRendidas[[#This Row],[usu_codigo]]="","",1)</f>
        <v>1</v>
      </c>
    </row>
    <row r="1078" spans="1:10" x14ac:dyDescent="0.25">
      <c r="A1078">
        <v>1</v>
      </c>
      <c r="B1078">
        <v>3</v>
      </c>
      <c r="C1078" t="s">
        <v>81</v>
      </c>
      <c r="D1078" t="s">
        <v>15</v>
      </c>
      <c r="E1078" t="s">
        <v>30</v>
      </c>
      <c r="F1078">
        <v>93374</v>
      </c>
      <c r="G1078">
        <f>+YEAR(Tabla__192.168.1.8_POSEIDONSQL_APPFVT_01_SQLFacturasRendidas[[#This Row],[f_facturacion]])</f>
        <v>2018</v>
      </c>
      <c r="H107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078">
        <f>+IF(Tabla__192.168.1.8_POSEIDONSQL_APPFVT_01_SQLFacturasRendidas[[#This Row],[epc_nombre]]="RENDIDA",1,0)</f>
        <v>1</v>
      </c>
      <c r="J1078">
        <f>+IF(Tabla__192.168.1.8_POSEIDONSQL_APPFVT_01_SQLFacturasRendidas[[#This Row],[usu_codigo]]="","",1)</f>
        <v>1</v>
      </c>
    </row>
    <row r="1079" spans="1:10" x14ac:dyDescent="0.25">
      <c r="A1079">
        <v>1</v>
      </c>
      <c r="B1079">
        <v>3</v>
      </c>
      <c r="C1079" t="s">
        <v>81</v>
      </c>
      <c r="D1079" t="s">
        <v>15</v>
      </c>
      <c r="E1079" t="s">
        <v>30</v>
      </c>
      <c r="F1079">
        <v>93375</v>
      </c>
      <c r="G1079">
        <f>+YEAR(Tabla__192.168.1.8_POSEIDONSQL_APPFVT_01_SQLFacturasRendidas[[#This Row],[f_facturacion]])</f>
        <v>2018</v>
      </c>
      <c r="H107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079">
        <f>+IF(Tabla__192.168.1.8_POSEIDONSQL_APPFVT_01_SQLFacturasRendidas[[#This Row],[epc_nombre]]="RENDIDA",1,0)</f>
        <v>1</v>
      </c>
      <c r="J1079">
        <f>+IF(Tabla__192.168.1.8_POSEIDONSQL_APPFVT_01_SQLFacturasRendidas[[#This Row],[usu_codigo]]="","",1)</f>
        <v>1</v>
      </c>
    </row>
    <row r="1080" spans="1:10" x14ac:dyDescent="0.25">
      <c r="A1080">
        <v>1</v>
      </c>
      <c r="B1080">
        <v>3</v>
      </c>
      <c r="C1080" t="s">
        <v>81</v>
      </c>
      <c r="D1080" t="s">
        <v>15</v>
      </c>
      <c r="E1080" t="s">
        <v>30</v>
      </c>
      <c r="F1080">
        <v>93376</v>
      </c>
      <c r="G1080">
        <f>+YEAR(Tabla__192.168.1.8_POSEIDONSQL_APPFVT_01_SQLFacturasRendidas[[#This Row],[f_facturacion]])</f>
        <v>2018</v>
      </c>
      <c r="H108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080">
        <f>+IF(Tabla__192.168.1.8_POSEIDONSQL_APPFVT_01_SQLFacturasRendidas[[#This Row],[epc_nombre]]="RENDIDA",1,0)</f>
        <v>1</v>
      </c>
      <c r="J1080">
        <f>+IF(Tabla__192.168.1.8_POSEIDONSQL_APPFVT_01_SQLFacturasRendidas[[#This Row],[usu_codigo]]="","",1)</f>
        <v>1</v>
      </c>
    </row>
    <row r="1081" spans="1:10" x14ac:dyDescent="0.25">
      <c r="A1081">
        <v>1</v>
      </c>
      <c r="B1081">
        <v>3</v>
      </c>
      <c r="C1081" t="s">
        <v>81</v>
      </c>
      <c r="D1081" t="s">
        <v>15</v>
      </c>
      <c r="E1081" t="s">
        <v>30</v>
      </c>
      <c r="F1081">
        <v>93377</v>
      </c>
      <c r="G1081">
        <f>+YEAR(Tabla__192.168.1.8_POSEIDONSQL_APPFVT_01_SQLFacturasRendidas[[#This Row],[f_facturacion]])</f>
        <v>2018</v>
      </c>
      <c r="H108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081">
        <f>+IF(Tabla__192.168.1.8_POSEIDONSQL_APPFVT_01_SQLFacturasRendidas[[#This Row],[epc_nombre]]="RENDIDA",1,0)</f>
        <v>1</v>
      </c>
      <c r="J1081">
        <f>+IF(Tabla__192.168.1.8_POSEIDONSQL_APPFVT_01_SQLFacturasRendidas[[#This Row],[usu_codigo]]="","",1)</f>
        <v>1</v>
      </c>
    </row>
    <row r="1082" spans="1:10" x14ac:dyDescent="0.25">
      <c r="A1082">
        <v>1</v>
      </c>
      <c r="B1082">
        <v>3</v>
      </c>
      <c r="C1082" t="s">
        <v>81</v>
      </c>
      <c r="D1082" t="s">
        <v>15</v>
      </c>
      <c r="E1082" t="s">
        <v>30</v>
      </c>
      <c r="F1082">
        <v>93378</v>
      </c>
      <c r="G1082">
        <f>+YEAR(Tabla__192.168.1.8_POSEIDONSQL_APPFVT_01_SQLFacturasRendidas[[#This Row],[f_facturacion]])</f>
        <v>2018</v>
      </c>
      <c r="H108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082">
        <f>+IF(Tabla__192.168.1.8_POSEIDONSQL_APPFVT_01_SQLFacturasRendidas[[#This Row],[epc_nombre]]="RENDIDA",1,0)</f>
        <v>1</v>
      </c>
      <c r="J1082">
        <f>+IF(Tabla__192.168.1.8_POSEIDONSQL_APPFVT_01_SQLFacturasRendidas[[#This Row],[usu_codigo]]="","",1)</f>
        <v>1</v>
      </c>
    </row>
    <row r="1083" spans="1:10" x14ac:dyDescent="0.25">
      <c r="A1083">
        <v>1</v>
      </c>
      <c r="B1083">
        <v>3</v>
      </c>
      <c r="C1083" t="s">
        <v>81</v>
      </c>
      <c r="D1083" t="s">
        <v>15</v>
      </c>
      <c r="E1083" t="s">
        <v>30</v>
      </c>
      <c r="F1083">
        <v>93379</v>
      </c>
      <c r="G1083">
        <f>+YEAR(Tabla__192.168.1.8_POSEIDONSQL_APPFVT_01_SQLFacturasRendidas[[#This Row],[f_facturacion]])</f>
        <v>2018</v>
      </c>
      <c r="H108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083">
        <f>+IF(Tabla__192.168.1.8_POSEIDONSQL_APPFVT_01_SQLFacturasRendidas[[#This Row],[epc_nombre]]="RENDIDA",1,0)</f>
        <v>1</v>
      </c>
      <c r="J1083">
        <f>+IF(Tabla__192.168.1.8_POSEIDONSQL_APPFVT_01_SQLFacturasRendidas[[#This Row],[usu_codigo]]="","",1)</f>
        <v>1</v>
      </c>
    </row>
    <row r="1084" spans="1:10" x14ac:dyDescent="0.25">
      <c r="A1084">
        <v>1</v>
      </c>
      <c r="B1084">
        <v>3</v>
      </c>
      <c r="C1084" t="s">
        <v>81</v>
      </c>
      <c r="D1084" t="s">
        <v>15</v>
      </c>
      <c r="E1084" t="s">
        <v>30</v>
      </c>
      <c r="F1084">
        <v>93380</v>
      </c>
      <c r="G1084">
        <f>+YEAR(Tabla__192.168.1.8_POSEIDONSQL_APPFVT_01_SQLFacturasRendidas[[#This Row],[f_facturacion]])</f>
        <v>2018</v>
      </c>
      <c r="H108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084">
        <f>+IF(Tabla__192.168.1.8_POSEIDONSQL_APPFVT_01_SQLFacturasRendidas[[#This Row],[epc_nombre]]="RENDIDA",1,0)</f>
        <v>1</v>
      </c>
      <c r="J1084">
        <f>+IF(Tabla__192.168.1.8_POSEIDONSQL_APPFVT_01_SQLFacturasRendidas[[#This Row],[usu_codigo]]="","",1)</f>
        <v>1</v>
      </c>
    </row>
    <row r="1085" spans="1:10" x14ac:dyDescent="0.25">
      <c r="A1085">
        <v>1</v>
      </c>
      <c r="B1085">
        <v>3</v>
      </c>
      <c r="C1085" t="s">
        <v>81</v>
      </c>
      <c r="D1085" t="s">
        <v>15</v>
      </c>
      <c r="E1085" t="s">
        <v>30</v>
      </c>
      <c r="F1085">
        <v>93381</v>
      </c>
      <c r="G1085">
        <f>+YEAR(Tabla__192.168.1.8_POSEIDONSQL_APPFVT_01_SQLFacturasRendidas[[#This Row],[f_facturacion]])</f>
        <v>2018</v>
      </c>
      <c r="H108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085">
        <f>+IF(Tabla__192.168.1.8_POSEIDONSQL_APPFVT_01_SQLFacturasRendidas[[#This Row],[epc_nombre]]="RENDIDA",1,0)</f>
        <v>1</v>
      </c>
      <c r="J1085">
        <f>+IF(Tabla__192.168.1.8_POSEIDONSQL_APPFVT_01_SQLFacturasRendidas[[#This Row],[usu_codigo]]="","",1)</f>
        <v>1</v>
      </c>
    </row>
    <row r="1086" spans="1:10" x14ac:dyDescent="0.25">
      <c r="A1086">
        <v>1</v>
      </c>
      <c r="B1086">
        <v>3</v>
      </c>
      <c r="C1086" t="s">
        <v>81</v>
      </c>
      <c r="D1086" t="s">
        <v>15</v>
      </c>
      <c r="E1086" t="s">
        <v>33</v>
      </c>
      <c r="F1086">
        <v>93588</v>
      </c>
      <c r="G1086">
        <f>+YEAR(Tabla__192.168.1.8_POSEIDONSQL_APPFVT_01_SQLFacturasRendidas[[#This Row],[f_facturacion]])</f>
        <v>2018</v>
      </c>
      <c r="H108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086">
        <f>+IF(Tabla__192.168.1.8_POSEIDONSQL_APPFVT_01_SQLFacturasRendidas[[#This Row],[epc_nombre]]="RENDIDA",1,0)</f>
        <v>1</v>
      </c>
      <c r="J1086">
        <f>+IF(Tabla__192.168.1.8_POSEIDONSQL_APPFVT_01_SQLFacturasRendidas[[#This Row],[usu_codigo]]="","",1)</f>
        <v>1</v>
      </c>
    </row>
    <row r="1087" spans="1:10" x14ac:dyDescent="0.25">
      <c r="A1087">
        <v>1</v>
      </c>
      <c r="B1087">
        <v>3</v>
      </c>
      <c r="C1087" t="s">
        <v>81</v>
      </c>
      <c r="D1087" t="s">
        <v>15</v>
      </c>
      <c r="E1087" t="s">
        <v>33</v>
      </c>
      <c r="F1087">
        <v>93589</v>
      </c>
      <c r="G1087">
        <f>+YEAR(Tabla__192.168.1.8_POSEIDONSQL_APPFVT_01_SQLFacturasRendidas[[#This Row],[f_facturacion]])</f>
        <v>2018</v>
      </c>
      <c r="H108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087">
        <f>+IF(Tabla__192.168.1.8_POSEIDONSQL_APPFVT_01_SQLFacturasRendidas[[#This Row],[epc_nombre]]="RENDIDA",1,0)</f>
        <v>1</v>
      </c>
      <c r="J1087">
        <f>+IF(Tabla__192.168.1.8_POSEIDONSQL_APPFVT_01_SQLFacturasRendidas[[#This Row],[usu_codigo]]="","",1)</f>
        <v>1</v>
      </c>
    </row>
    <row r="1088" spans="1:10" x14ac:dyDescent="0.25">
      <c r="A1088">
        <v>1</v>
      </c>
      <c r="B1088">
        <v>3</v>
      </c>
      <c r="C1088" t="s">
        <v>81</v>
      </c>
      <c r="D1088" t="s">
        <v>15</v>
      </c>
      <c r="E1088" t="s">
        <v>33</v>
      </c>
      <c r="F1088">
        <v>93590</v>
      </c>
      <c r="G1088">
        <f>+YEAR(Tabla__192.168.1.8_POSEIDONSQL_APPFVT_01_SQLFacturasRendidas[[#This Row],[f_facturacion]])</f>
        <v>2018</v>
      </c>
      <c r="H108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088">
        <f>+IF(Tabla__192.168.1.8_POSEIDONSQL_APPFVT_01_SQLFacturasRendidas[[#This Row],[epc_nombre]]="RENDIDA",1,0)</f>
        <v>1</v>
      </c>
      <c r="J1088">
        <f>+IF(Tabla__192.168.1.8_POSEIDONSQL_APPFVT_01_SQLFacturasRendidas[[#This Row],[usu_codigo]]="","",1)</f>
        <v>1</v>
      </c>
    </row>
    <row r="1089" spans="1:10" x14ac:dyDescent="0.25">
      <c r="A1089">
        <v>1</v>
      </c>
      <c r="B1089">
        <v>3</v>
      </c>
      <c r="C1089" t="s">
        <v>81</v>
      </c>
      <c r="D1089" t="s">
        <v>15</v>
      </c>
      <c r="E1089" t="s">
        <v>33</v>
      </c>
      <c r="F1089">
        <v>93591</v>
      </c>
      <c r="G1089">
        <f>+YEAR(Tabla__192.168.1.8_POSEIDONSQL_APPFVT_01_SQLFacturasRendidas[[#This Row],[f_facturacion]])</f>
        <v>2018</v>
      </c>
      <c r="H108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089">
        <f>+IF(Tabla__192.168.1.8_POSEIDONSQL_APPFVT_01_SQLFacturasRendidas[[#This Row],[epc_nombre]]="RENDIDA",1,0)</f>
        <v>1</v>
      </c>
      <c r="J1089">
        <f>+IF(Tabla__192.168.1.8_POSEIDONSQL_APPFVT_01_SQLFacturasRendidas[[#This Row],[usu_codigo]]="","",1)</f>
        <v>1</v>
      </c>
    </row>
    <row r="1090" spans="1:10" x14ac:dyDescent="0.25">
      <c r="A1090">
        <v>1</v>
      </c>
      <c r="B1090">
        <v>3</v>
      </c>
      <c r="C1090" t="s">
        <v>81</v>
      </c>
      <c r="D1090" t="s">
        <v>15</v>
      </c>
      <c r="E1090" t="s">
        <v>33</v>
      </c>
      <c r="F1090">
        <v>93592</v>
      </c>
      <c r="G1090">
        <f>+YEAR(Tabla__192.168.1.8_POSEIDONSQL_APPFVT_01_SQLFacturasRendidas[[#This Row],[f_facturacion]])</f>
        <v>2018</v>
      </c>
      <c r="H109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090">
        <f>+IF(Tabla__192.168.1.8_POSEIDONSQL_APPFVT_01_SQLFacturasRendidas[[#This Row],[epc_nombre]]="RENDIDA",1,0)</f>
        <v>1</v>
      </c>
      <c r="J1090">
        <f>+IF(Tabla__192.168.1.8_POSEIDONSQL_APPFVT_01_SQLFacturasRendidas[[#This Row],[usu_codigo]]="","",1)</f>
        <v>1</v>
      </c>
    </row>
    <row r="1091" spans="1:10" x14ac:dyDescent="0.25">
      <c r="A1091">
        <v>1</v>
      </c>
      <c r="B1091">
        <v>3</v>
      </c>
      <c r="C1091" t="s">
        <v>81</v>
      </c>
      <c r="D1091" t="s">
        <v>15</v>
      </c>
      <c r="E1091" t="s">
        <v>33</v>
      </c>
      <c r="F1091">
        <v>93593</v>
      </c>
      <c r="G1091">
        <f>+YEAR(Tabla__192.168.1.8_POSEIDONSQL_APPFVT_01_SQLFacturasRendidas[[#This Row],[f_facturacion]])</f>
        <v>2018</v>
      </c>
      <c r="H109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091">
        <f>+IF(Tabla__192.168.1.8_POSEIDONSQL_APPFVT_01_SQLFacturasRendidas[[#This Row],[epc_nombre]]="RENDIDA",1,0)</f>
        <v>1</v>
      </c>
      <c r="J1091">
        <f>+IF(Tabla__192.168.1.8_POSEIDONSQL_APPFVT_01_SQLFacturasRendidas[[#This Row],[usu_codigo]]="","",1)</f>
        <v>1</v>
      </c>
    </row>
    <row r="1092" spans="1:10" x14ac:dyDescent="0.25">
      <c r="A1092">
        <v>1</v>
      </c>
      <c r="B1092">
        <v>3</v>
      </c>
      <c r="C1092" t="s">
        <v>81</v>
      </c>
      <c r="D1092" t="s">
        <v>15</v>
      </c>
      <c r="E1092" t="s">
        <v>33</v>
      </c>
      <c r="F1092">
        <v>93594</v>
      </c>
      <c r="G1092">
        <f>+YEAR(Tabla__192.168.1.8_POSEIDONSQL_APPFVT_01_SQLFacturasRendidas[[#This Row],[f_facturacion]])</f>
        <v>2018</v>
      </c>
      <c r="H109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092">
        <f>+IF(Tabla__192.168.1.8_POSEIDONSQL_APPFVT_01_SQLFacturasRendidas[[#This Row],[epc_nombre]]="RENDIDA",1,0)</f>
        <v>1</v>
      </c>
      <c r="J1092">
        <f>+IF(Tabla__192.168.1.8_POSEIDONSQL_APPFVT_01_SQLFacturasRendidas[[#This Row],[usu_codigo]]="","",1)</f>
        <v>1</v>
      </c>
    </row>
    <row r="1093" spans="1:10" x14ac:dyDescent="0.25">
      <c r="A1093">
        <v>1</v>
      </c>
      <c r="B1093">
        <v>3</v>
      </c>
      <c r="C1093" t="s">
        <v>81</v>
      </c>
      <c r="D1093" t="s">
        <v>15</v>
      </c>
      <c r="E1093" t="s">
        <v>33</v>
      </c>
      <c r="F1093">
        <v>93595</v>
      </c>
      <c r="G1093">
        <f>+YEAR(Tabla__192.168.1.8_POSEIDONSQL_APPFVT_01_SQLFacturasRendidas[[#This Row],[f_facturacion]])</f>
        <v>2018</v>
      </c>
      <c r="H109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093">
        <f>+IF(Tabla__192.168.1.8_POSEIDONSQL_APPFVT_01_SQLFacturasRendidas[[#This Row],[epc_nombre]]="RENDIDA",1,0)</f>
        <v>1</v>
      </c>
      <c r="J1093">
        <f>+IF(Tabla__192.168.1.8_POSEIDONSQL_APPFVT_01_SQLFacturasRendidas[[#This Row],[usu_codigo]]="","",1)</f>
        <v>1</v>
      </c>
    </row>
    <row r="1094" spans="1:10" x14ac:dyDescent="0.25">
      <c r="A1094">
        <v>1</v>
      </c>
      <c r="B1094">
        <v>3</v>
      </c>
      <c r="C1094" t="s">
        <v>81</v>
      </c>
      <c r="D1094" t="s">
        <v>15</v>
      </c>
      <c r="E1094" t="s">
        <v>33</v>
      </c>
      <c r="F1094">
        <v>93596</v>
      </c>
      <c r="G1094">
        <f>+YEAR(Tabla__192.168.1.8_POSEIDONSQL_APPFVT_01_SQLFacturasRendidas[[#This Row],[f_facturacion]])</f>
        <v>2018</v>
      </c>
      <c r="H109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094">
        <f>+IF(Tabla__192.168.1.8_POSEIDONSQL_APPFVT_01_SQLFacturasRendidas[[#This Row],[epc_nombre]]="RENDIDA",1,0)</f>
        <v>1</v>
      </c>
      <c r="J1094">
        <f>+IF(Tabla__192.168.1.8_POSEIDONSQL_APPFVT_01_SQLFacturasRendidas[[#This Row],[usu_codigo]]="","",1)</f>
        <v>1</v>
      </c>
    </row>
    <row r="1095" spans="1:10" x14ac:dyDescent="0.25">
      <c r="A1095">
        <v>1</v>
      </c>
      <c r="B1095">
        <v>3</v>
      </c>
      <c r="C1095" t="s">
        <v>81</v>
      </c>
      <c r="D1095" t="s">
        <v>15</v>
      </c>
      <c r="E1095" t="s">
        <v>35</v>
      </c>
      <c r="F1095">
        <v>93656</v>
      </c>
      <c r="G1095">
        <f>+YEAR(Tabla__192.168.1.8_POSEIDONSQL_APPFVT_01_SQLFacturasRendidas[[#This Row],[f_facturacion]])</f>
        <v>2018</v>
      </c>
      <c r="H109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095">
        <f>+IF(Tabla__192.168.1.8_POSEIDONSQL_APPFVT_01_SQLFacturasRendidas[[#This Row],[epc_nombre]]="RENDIDA",1,0)</f>
        <v>1</v>
      </c>
      <c r="J1095">
        <f>+IF(Tabla__192.168.1.8_POSEIDONSQL_APPFVT_01_SQLFacturasRendidas[[#This Row],[usu_codigo]]="","",1)</f>
        <v>1</v>
      </c>
    </row>
    <row r="1096" spans="1:10" x14ac:dyDescent="0.25">
      <c r="A1096">
        <v>1</v>
      </c>
      <c r="B1096">
        <v>3</v>
      </c>
      <c r="C1096" t="s">
        <v>81</v>
      </c>
      <c r="D1096" t="s">
        <v>15</v>
      </c>
      <c r="E1096" t="s">
        <v>35</v>
      </c>
      <c r="F1096">
        <v>93657</v>
      </c>
      <c r="G1096">
        <f>+YEAR(Tabla__192.168.1.8_POSEIDONSQL_APPFVT_01_SQLFacturasRendidas[[#This Row],[f_facturacion]])</f>
        <v>2018</v>
      </c>
      <c r="H109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096">
        <f>+IF(Tabla__192.168.1.8_POSEIDONSQL_APPFVT_01_SQLFacturasRendidas[[#This Row],[epc_nombre]]="RENDIDA",1,0)</f>
        <v>1</v>
      </c>
      <c r="J1096">
        <f>+IF(Tabla__192.168.1.8_POSEIDONSQL_APPFVT_01_SQLFacturasRendidas[[#This Row],[usu_codigo]]="","",1)</f>
        <v>1</v>
      </c>
    </row>
    <row r="1097" spans="1:10" x14ac:dyDescent="0.25">
      <c r="A1097">
        <v>1</v>
      </c>
      <c r="B1097">
        <v>3</v>
      </c>
      <c r="C1097" t="s">
        <v>81</v>
      </c>
      <c r="D1097" t="s">
        <v>15</v>
      </c>
      <c r="E1097" t="s">
        <v>35</v>
      </c>
      <c r="F1097">
        <v>93658</v>
      </c>
      <c r="G1097">
        <f>+YEAR(Tabla__192.168.1.8_POSEIDONSQL_APPFVT_01_SQLFacturasRendidas[[#This Row],[f_facturacion]])</f>
        <v>2018</v>
      </c>
      <c r="H109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097">
        <f>+IF(Tabla__192.168.1.8_POSEIDONSQL_APPFVT_01_SQLFacturasRendidas[[#This Row],[epc_nombre]]="RENDIDA",1,0)</f>
        <v>1</v>
      </c>
      <c r="J1097">
        <f>+IF(Tabla__192.168.1.8_POSEIDONSQL_APPFVT_01_SQLFacturasRendidas[[#This Row],[usu_codigo]]="","",1)</f>
        <v>1</v>
      </c>
    </row>
    <row r="1098" spans="1:10" x14ac:dyDescent="0.25">
      <c r="A1098">
        <v>1</v>
      </c>
      <c r="B1098">
        <v>3</v>
      </c>
      <c r="C1098" t="s">
        <v>81</v>
      </c>
      <c r="D1098" t="s">
        <v>15</v>
      </c>
      <c r="E1098" t="s">
        <v>35</v>
      </c>
      <c r="F1098">
        <v>93661</v>
      </c>
      <c r="G1098">
        <f>+YEAR(Tabla__192.168.1.8_POSEIDONSQL_APPFVT_01_SQLFacturasRendidas[[#This Row],[f_facturacion]])</f>
        <v>2018</v>
      </c>
      <c r="H109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098">
        <f>+IF(Tabla__192.168.1.8_POSEIDONSQL_APPFVT_01_SQLFacturasRendidas[[#This Row],[epc_nombre]]="RENDIDA",1,0)</f>
        <v>1</v>
      </c>
      <c r="J1098">
        <f>+IF(Tabla__192.168.1.8_POSEIDONSQL_APPFVT_01_SQLFacturasRendidas[[#This Row],[usu_codigo]]="","",1)</f>
        <v>1</v>
      </c>
    </row>
    <row r="1099" spans="1:10" x14ac:dyDescent="0.25">
      <c r="A1099">
        <v>1</v>
      </c>
      <c r="B1099">
        <v>3</v>
      </c>
      <c r="C1099" t="s">
        <v>81</v>
      </c>
      <c r="D1099" t="s">
        <v>15</v>
      </c>
      <c r="E1099" t="s">
        <v>35</v>
      </c>
      <c r="F1099">
        <v>93662</v>
      </c>
      <c r="G1099">
        <f>+YEAR(Tabla__192.168.1.8_POSEIDONSQL_APPFVT_01_SQLFacturasRendidas[[#This Row],[f_facturacion]])</f>
        <v>2018</v>
      </c>
      <c r="H109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099">
        <f>+IF(Tabla__192.168.1.8_POSEIDONSQL_APPFVT_01_SQLFacturasRendidas[[#This Row],[epc_nombre]]="RENDIDA",1,0)</f>
        <v>1</v>
      </c>
      <c r="J1099">
        <f>+IF(Tabla__192.168.1.8_POSEIDONSQL_APPFVT_01_SQLFacturasRendidas[[#This Row],[usu_codigo]]="","",1)</f>
        <v>1</v>
      </c>
    </row>
    <row r="1100" spans="1:10" x14ac:dyDescent="0.25">
      <c r="A1100">
        <v>1</v>
      </c>
      <c r="B1100">
        <v>3</v>
      </c>
      <c r="C1100" t="s">
        <v>81</v>
      </c>
      <c r="D1100" t="s">
        <v>15</v>
      </c>
      <c r="E1100" t="s">
        <v>35</v>
      </c>
      <c r="F1100">
        <v>93663</v>
      </c>
      <c r="G1100">
        <f>+YEAR(Tabla__192.168.1.8_POSEIDONSQL_APPFVT_01_SQLFacturasRendidas[[#This Row],[f_facturacion]])</f>
        <v>2018</v>
      </c>
      <c r="H110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100">
        <f>+IF(Tabla__192.168.1.8_POSEIDONSQL_APPFVT_01_SQLFacturasRendidas[[#This Row],[epc_nombre]]="RENDIDA",1,0)</f>
        <v>1</v>
      </c>
      <c r="J1100">
        <f>+IF(Tabla__192.168.1.8_POSEIDONSQL_APPFVT_01_SQLFacturasRendidas[[#This Row],[usu_codigo]]="","",1)</f>
        <v>1</v>
      </c>
    </row>
    <row r="1101" spans="1:10" x14ac:dyDescent="0.25">
      <c r="A1101">
        <v>1</v>
      </c>
      <c r="B1101">
        <v>3</v>
      </c>
      <c r="C1101" t="s">
        <v>81</v>
      </c>
      <c r="D1101" t="s">
        <v>15</v>
      </c>
      <c r="E1101" t="s">
        <v>35</v>
      </c>
      <c r="F1101">
        <v>93664</v>
      </c>
      <c r="G1101">
        <f>+YEAR(Tabla__192.168.1.8_POSEIDONSQL_APPFVT_01_SQLFacturasRendidas[[#This Row],[f_facturacion]])</f>
        <v>2018</v>
      </c>
      <c r="H110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101">
        <f>+IF(Tabla__192.168.1.8_POSEIDONSQL_APPFVT_01_SQLFacturasRendidas[[#This Row],[epc_nombre]]="RENDIDA",1,0)</f>
        <v>1</v>
      </c>
      <c r="J1101">
        <f>+IF(Tabla__192.168.1.8_POSEIDONSQL_APPFVT_01_SQLFacturasRendidas[[#This Row],[usu_codigo]]="","",1)</f>
        <v>1</v>
      </c>
    </row>
    <row r="1102" spans="1:10" x14ac:dyDescent="0.25">
      <c r="A1102">
        <v>1</v>
      </c>
      <c r="B1102">
        <v>3</v>
      </c>
      <c r="C1102" t="s">
        <v>81</v>
      </c>
      <c r="D1102" t="s">
        <v>15</v>
      </c>
      <c r="E1102" t="s">
        <v>35</v>
      </c>
      <c r="F1102">
        <v>93665</v>
      </c>
      <c r="G1102">
        <f>+YEAR(Tabla__192.168.1.8_POSEIDONSQL_APPFVT_01_SQLFacturasRendidas[[#This Row],[f_facturacion]])</f>
        <v>2018</v>
      </c>
      <c r="H110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102">
        <f>+IF(Tabla__192.168.1.8_POSEIDONSQL_APPFVT_01_SQLFacturasRendidas[[#This Row],[epc_nombre]]="RENDIDA",1,0)</f>
        <v>1</v>
      </c>
      <c r="J1102">
        <f>+IF(Tabla__192.168.1.8_POSEIDONSQL_APPFVT_01_SQLFacturasRendidas[[#This Row],[usu_codigo]]="","",1)</f>
        <v>1</v>
      </c>
    </row>
    <row r="1103" spans="1:10" x14ac:dyDescent="0.25">
      <c r="A1103">
        <v>1</v>
      </c>
      <c r="B1103">
        <v>3</v>
      </c>
      <c r="C1103" t="s">
        <v>81</v>
      </c>
      <c r="D1103" t="s">
        <v>15</v>
      </c>
      <c r="E1103" t="s">
        <v>35</v>
      </c>
      <c r="F1103">
        <v>93666</v>
      </c>
      <c r="G1103">
        <f>+YEAR(Tabla__192.168.1.8_POSEIDONSQL_APPFVT_01_SQLFacturasRendidas[[#This Row],[f_facturacion]])</f>
        <v>2018</v>
      </c>
      <c r="H110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103">
        <f>+IF(Tabla__192.168.1.8_POSEIDONSQL_APPFVT_01_SQLFacturasRendidas[[#This Row],[epc_nombre]]="RENDIDA",1,0)</f>
        <v>1</v>
      </c>
      <c r="J1103">
        <f>+IF(Tabla__192.168.1.8_POSEIDONSQL_APPFVT_01_SQLFacturasRendidas[[#This Row],[usu_codigo]]="","",1)</f>
        <v>1</v>
      </c>
    </row>
    <row r="1104" spans="1:10" x14ac:dyDescent="0.25">
      <c r="A1104">
        <v>1</v>
      </c>
      <c r="B1104">
        <v>3</v>
      </c>
      <c r="C1104" t="s">
        <v>81</v>
      </c>
      <c r="D1104" t="s">
        <v>23</v>
      </c>
      <c r="E1104" t="s">
        <v>35</v>
      </c>
      <c r="F1104">
        <v>93667</v>
      </c>
      <c r="G1104">
        <f>+YEAR(Tabla__192.168.1.8_POSEIDONSQL_APPFVT_01_SQLFacturasRendidas[[#This Row],[f_facturacion]])</f>
        <v>2018</v>
      </c>
      <c r="H110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104">
        <f>+IF(Tabla__192.168.1.8_POSEIDONSQL_APPFVT_01_SQLFacturasRendidas[[#This Row],[epc_nombre]]="RENDIDA",1,0)</f>
        <v>0</v>
      </c>
      <c r="J1104">
        <f>+IF(Tabla__192.168.1.8_POSEIDONSQL_APPFVT_01_SQLFacturasRendidas[[#This Row],[usu_codigo]]="","",1)</f>
        <v>1</v>
      </c>
    </row>
    <row r="1105" spans="1:10" x14ac:dyDescent="0.25">
      <c r="A1105">
        <v>1</v>
      </c>
      <c r="B1105">
        <v>3</v>
      </c>
      <c r="C1105" t="s">
        <v>81</v>
      </c>
      <c r="D1105" t="s">
        <v>15</v>
      </c>
      <c r="E1105" t="s">
        <v>35</v>
      </c>
      <c r="F1105">
        <v>93668</v>
      </c>
      <c r="G1105">
        <f>+YEAR(Tabla__192.168.1.8_POSEIDONSQL_APPFVT_01_SQLFacturasRendidas[[#This Row],[f_facturacion]])</f>
        <v>2018</v>
      </c>
      <c r="H110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105">
        <f>+IF(Tabla__192.168.1.8_POSEIDONSQL_APPFVT_01_SQLFacturasRendidas[[#This Row],[epc_nombre]]="RENDIDA",1,0)</f>
        <v>1</v>
      </c>
      <c r="J1105">
        <f>+IF(Tabla__192.168.1.8_POSEIDONSQL_APPFVT_01_SQLFacturasRendidas[[#This Row],[usu_codigo]]="","",1)</f>
        <v>1</v>
      </c>
    </row>
    <row r="1106" spans="1:10" x14ac:dyDescent="0.25">
      <c r="A1106">
        <v>1</v>
      </c>
      <c r="B1106">
        <v>3</v>
      </c>
      <c r="C1106" t="s">
        <v>81</v>
      </c>
      <c r="D1106" t="s">
        <v>15</v>
      </c>
      <c r="E1106" t="s">
        <v>35</v>
      </c>
      <c r="F1106">
        <v>93669</v>
      </c>
      <c r="G1106">
        <f>+YEAR(Tabla__192.168.1.8_POSEIDONSQL_APPFVT_01_SQLFacturasRendidas[[#This Row],[f_facturacion]])</f>
        <v>2018</v>
      </c>
      <c r="H110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106">
        <f>+IF(Tabla__192.168.1.8_POSEIDONSQL_APPFVT_01_SQLFacturasRendidas[[#This Row],[epc_nombre]]="RENDIDA",1,0)</f>
        <v>1</v>
      </c>
      <c r="J1106">
        <f>+IF(Tabla__192.168.1.8_POSEIDONSQL_APPFVT_01_SQLFacturasRendidas[[#This Row],[usu_codigo]]="","",1)</f>
        <v>1</v>
      </c>
    </row>
    <row r="1107" spans="1:10" x14ac:dyDescent="0.25">
      <c r="A1107">
        <v>1</v>
      </c>
      <c r="B1107">
        <v>3</v>
      </c>
      <c r="C1107" t="s">
        <v>81</v>
      </c>
      <c r="D1107" t="s">
        <v>15</v>
      </c>
      <c r="E1107" t="s">
        <v>58</v>
      </c>
      <c r="F1107">
        <v>93722</v>
      </c>
      <c r="G1107">
        <f>+YEAR(Tabla__192.168.1.8_POSEIDONSQL_APPFVT_01_SQLFacturasRendidas[[#This Row],[f_facturacion]])</f>
        <v>2018</v>
      </c>
      <c r="H110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107">
        <f>+IF(Tabla__192.168.1.8_POSEIDONSQL_APPFVT_01_SQLFacturasRendidas[[#This Row],[epc_nombre]]="RENDIDA",1,0)</f>
        <v>1</v>
      </c>
      <c r="J1107">
        <f>+IF(Tabla__192.168.1.8_POSEIDONSQL_APPFVT_01_SQLFacturasRendidas[[#This Row],[usu_codigo]]="","",1)</f>
        <v>1</v>
      </c>
    </row>
    <row r="1108" spans="1:10" x14ac:dyDescent="0.25">
      <c r="A1108">
        <v>1</v>
      </c>
      <c r="B1108">
        <v>3</v>
      </c>
      <c r="C1108" t="s">
        <v>81</v>
      </c>
      <c r="D1108" t="s">
        <v>15</v>
      </c>
      <c r="E1108" t="s">
        <v>58</v>
      </c>
      <c r="F1108">
        <v>93723</v>
      </c>
      <c r="G1108">
        <f>+YEAR(Tabla__192.168.1.8_POSEIDONSQL_APPFVT_01_SQLFacturasRendidas[[#This Row],[f_facturacion]])</f>
        <v>2018</v>
      </c>
      <c r="H110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108">
        <f>+IF(Tabla__192.168.1.8_POSEIDONSQL_APPFVT_01_SQLFacturasRendidas[[#This Row],[epc_nombre]]="RENDIDA",1,0)</f>
        <v>1</v>
      </c>
      <c r="J1108">
        <f>+IF(Tabla__192.168.1.8_POSEIDONSQL_APPFVT_01_SQLFacturasRendidas[[#This Row],[usu_codigo]]="","",1)</f>
        <v>1</v>
      </c>
    </row>
    <row r="1109" spans="1:10" x14ac:dyDescent="0.25">
      <c r="A1109">
        <v>1</v>
      </c>
      <c r="B1109">
        <v>3</v>
      </c>
      <c r="C1109" t="s">
        <v>81</v>
      </c>
      <c r="D1109" t="s">
        <v>15</v>
      </c>
      <c r="E1109" t="s">
        <v>58</v>
      </c>
      <c r="F1109">
        <v>93724</v>
      </c>
      <c r="G1109">
        <f>+YEAR(Tabla__192.168.1.8_POSEIDONSQL_APPFVT_01_SQLFacturasRendidas[[#This Row],[f_facturacion]])</f>
        <v>2018</v>
      </c>
      <c r="H110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109">
        <f>+IF(Tabla__192.168.1.8_POSEIDONSQL_APPFVT_01_SQLFacturasRendidas[[#This Row],[epc_nombre]]="RENDIDA",1,0)</f>
        <v>1</v>
      </c>
      <c r="J1109">
        <f>+IF(Tabla__192.168.1.8_POSEIDONSQL_APPFVT_01_SQLFacturasRendidas[[#This Row],[usu_codigo]]="","",1)</f>
        <v>1</v>
      </c>
    </row>
    <row r="1110" spans="1:10" x14ac:dyDescent="0.25">
      <c r="A1110">
        <v>1</v>
      </c>
      <c r="B1110">
        <v>3</v>
      </c>
      <c r="C1110" t="s">
        <v>81</v>
      </c>
      <c r="D1110" t="s">
        <v>15</v>
      </c>
      <c r="E1110" t="s">
        <v>58</v>
      </c>
      <c r="F1110">
        <v>93725</v>
      </c>
      <c r="G1110">
        <f>+YEAR(Tabla__192.168.1.8_POSEIDONSQL_APPFVT_01_SQLFacturasRendidas[[#This Row],[f_facturacion]])</f>
        <v>2018</v>
      </c>
      <c r="H111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110">
        <f>+IF(Tabla__192.168.1.8_POSEIDONSQL_APPFVT_01_SQLFacturasRendidas[[#This Row],[epc_nombre]]="RENDIDA",1,0)</f>
        <v>1</v>
      </c>
      <c r="J1110">
        <f>+IF(Tabla__192.168.1.8_POSEIDONSQL_APPFVT_01_SQLFacturasRendidas[[#This Row],[usu_codigo]]="","",1)</f>
        <v>1</v>
      </c>
    </row>
    <row r="1111" spans="1:10" x14ac:dyDescent="0.25">
      <c r="A1111">
        <v>1</v>
      </c>
      <c r="B1111">
        <v>3</v>
      </c>
      <c r="C1111" t="s">
        <v>81</v>
      </c>
      <c r="D1111" t="s">
        <v>15</v>
      </c>
      <c r="E1111" t="s">
        <v>58</v>
      </c>
      <c r="F1111">
        <v>93726</v>
      </c>
      <c r="G1111">
        <f>+YEAR(Tabla__192.168.1.8_POSEIDONSQL_APPFVT_01_SQLFacturasRendidas[[#This Row],[f_facturacion]])</f>
        <v>2018</v>
      </c>
      <c r="H111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111">
        <f>+IF(Tabla__192.168.1.8_POSEIDONSQL_APPFVT_01_SQLFacturasRendidas[[#This Row],[epc_nombre]]="RENDIDA",1,0)</f>
        <v>1</v>
      </c>
      <c r="J1111">
        <f>+IF(Tabla__192.168.1.8_POSEIDONSQL_APPFVT_01_SQLFacturasRendidas[[#This Row],[usu_codigo]]="","",1)</f>
        <v>1</v>
      </c>
    </row>
    <row r="1112" spans="1:10" x14ac:dyDescent="0.25">
      <c r="A1112">
        <v>1</v>
      </c>
      <c r="B1112">
        <v>3</v>
      </c>
      <c r="C1112" t="s">
        <v>81</v>
      </c>
      <c r="D1112" t="s">
        <v>15</v>
      </c>
      <c r="E1112" t="s">
        <v>58</v>
      </c>
      <c r="F1112">
        <v>93727</v>
      </c>
      <c r="G1112">
        <f>+YEAR(Tabla__192.168.1.8_POSEIDONSQL_APPFVT_01_SQLFacturasRendidas[[#This Row],[f_facturacion]])</f>
        <v>2018</v>
      </c>
      <c r="H111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112">
        <f>+IF(Tabla__192.168.1.8_POSEIDONSQL_APPFVT_01_SQLFacturasRendidas[[#This Row],[epc_nombre]]="RENDIDA",1,0)</f>
        <v>1</v>
      </c>
      <c r="J1112">
        <f>+IF(Tabla__192.168.1.8_POSEIDONSQL_APPFVT_01_SQLFacturasRendidas[[#This Row],[usu_codigo]]="","",1)</f>
        <v>1</v>
      </c>
    </row>
    <row r="1113" spans="1:10" x14ac:dyDescent="0.25">
      <c r="A1113">
        <v>1</v>
      </c>
      <c r="B1113">
        <v>3</v>
      </c>
      <c r="C1113" t="s">
        <v>81</v>
      </c>
      <c r="D1113" t="s">
        <v>15</v>
      </c>
      <c r="E1113" t="s">
        <v>58</v>
      </c>
      <c r="F1113">
        <v>93728</v>
      </c>
      <c r="G1113">
        <f>+YEAR(Tabla__192.168.1.8_POSEIDONSQL_APPFVT_01_SQLFacturasRendidas[[#This Row],[f_facturacion]])</f>
        <v>2018</v>
      </c>
      <c r="H111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113">
        <f>+IF(Tabla__192.168.1.8_POSEIDONSQL_APPFVT_01_SQLFacturasRendidas[[#This Row],[epc_nombre]]="RENDIDA",1,0)</f>
        <v>1</v>
      </c>
      <c r="J1113">
        <f>+IF(Tabla__192.168.1.8_POSEIDONSQL_APPFVT_01_SQLFacturasRendidas[[#This Row],[usu_codigo]]="","",1)</f>
        <v>1</v>
      </c>
    </row>
    <row r="1114" spans="1:10" x14ac:dyDescent="0.25">
      <c r="A1114">
        <v>1</v>
      </c>
      <c r="B1114">
        <v>3</v>
      </c>
      <c r="C1114" t="s">
        <v>81</v>
      </c>
      <c r="D1114" t="s">
        <v>15</v>
      </c>
      <c r="E1114" t="s">
        <v>58</v>
      </c>
      <c r="F1114">
        <v>93729</v>
      </c>
      <c r="G1114">
        <f>+YEAR(Tabla__192.168.1.8_POSEIDONSQL_APPFVT_01_SQLFacturasRendidas[[#This Row],[f_facturacion]])</f>
        <v>2018</v>
      </c>
      <c r="H111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114">
        <f>+IF(Tabla__192.168.1.8_POSEIDONSQL_APPFVT_01_SQLFacturasRendidas[[#This Row],[epc_nombre]]="RENDIDA",1,0)</f>
        <v>1</v>
      </c>
      <c r="J1114">
        <f>+IF(Tabla__192.168.1.8_POSEIDONSQL_APPFVT_01_SQLFacturasRendidas[[#This Row],[usu_codigo]]="","",1)</f>
        <v>1</v>
      </c>
    </row>
    <row r="1115" spans="1:10" x14ac:dyDescent="0.25">
      <c r="A1115">
        <v>1</v>
      </c>
      <c r="B1115">
        <v>3</v>
      </c>
      <c r="C1115" t="s">
        <v>81</v>
      </c>
      <c r="D1115" t="s">
        <v>15</v>
      </c>
      <c r="E1115" t="s">
        <v>58</v>
      </c>
      <c r="F1115">
        <v>93730</v>
      </c>
      <c r="G1115">
        <f>+YEAR(Tabla__192.168.1.8_POSEIDONSQL_APPFVT_01_SQLFacturasRendidas[[#This Row],[f_facturacion]])</f>
        <v>2018</v>
      </c>
      <c r="H111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115">
        <f>+IF(Tabla__192.168.1.8_POSEIDONSQL_APPFVT_01_SQLFacturasRendidas[[#This Row],[epc_nombre]]="RENDIDA",1,0)</f>
        <v>1</v>
      </c>
      <c r="J1115">
        <f>+IF(Tabla__192.168.1.8_POSEIDONSQL_APPFVT_01_SQLFacturasRendidas[[#This Row],[usu_codigo]]="","",1)</f>
        <v>1</v>
      </c>
    </row>
    <row r="1116" spans="1:10" x14ac:dyDescent="0.25">
      <c r="A1116">
        <v>1</v>
      </c>
      <c r="B1116">
        <v>3</v>
      </c>
      <c r="C1116" t="s">
        <v>81</v>
      </c>
      <c r="D1116" t="s">
        <v>15</v>
      </c>
      <c r="E1116" t="s">
        <v>58</v>
      </c>
      <c r="F1116">
        <v>93731</v>
      </c>
      <c r="G1116">
        <f>+YEAR(Tabla__192.168.1.8_POSEIDONSQL_APPFVT_01_SQLFacturasRendidas[[#This Row],[f_facturacion]])</f>
        <v>2018</v>
      </c>
      <c r="H111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116">
        <f>+IF(Tabla__192.168.1.8_POSEIDONSQL_APPFVT_01_SQLFacturasRendidas[[#This Row],[epc_nombre]]="RENDIDA",1,0)</f>
        <v>1</v>
      </c>
      <c r="J1116">
        <f>+IF(Tabla__192.168.1.8_POSEIDONSQL_APPFVT_01_SQLFacturasRendidas[[#This Row],[usu_codigo]]="","",1)</f>
        <v>1</v>
      </c>
    </row>
    <row r="1117" spans="1:10" x14ac:dyDescent="0.25">
      <c r="A1117">
        <v>1</v>
      </c>
      <c r="B1117">
        <v>3</v>
      </c>
      <c r="C1117" t="s">
        <v>81</v>
      </c>
      <c r="D1117" t="s">
        <v>15</v>
      </c>
      <c r="E1117" t="s">
        <v>58</v>
      </c>
      <c r="F1117">
        <v>93732</v>
      </c>
      <c r="G1117">
        <f>+YEAR(Tabla__192.168.1.8_POSEIDONSQL_APPFVT_01_SQLFacturasRendidas[[#This Row],[f_facturacion]])</f>
        <v>2018</v>
      </c>
      <c r="H111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117">
        <f>+IF(Tabla__192.168.1.8_POSEIDONSQL_APPFVT_01_SQLFacturasRendidas[[#This Row],[epc_nombre]]="RENDIDA",1,0)</f>
        <v>1</v>
      </c>
      <c r="J1117">
        <f>+IF(Tabla__192.168.1.8_POSEIDONSQL_APPFVT_01_SQLFacturasRendidas[[#This Row],[usu_codigo]]="","",1)</f>
        <v>1</v>
      </c>
    </row>
    <row r="1118" spans="1:10" x14ac:dyDescent="0.25">
      <c r="A1118">
        <v>1</v>
      </c>
      <c r="B1118">
        <v>3</v>
      </c>
      <c r="C1118" t="s">
        <v>81</v>
      </c>
      <c r="D1118" t="s">
        <v>15</v>
      </c>
      <c r="E1118" t="s">
        <v>58</v>
      </c>
      <c r="F1118">
        <v>93733</v>
      </c>
      <c r="G1118">
        <f>+YEAR(Tabla__192.168.1.8_POSEIDONSQL_APPFVT_01_SQLFacturasRendidas[[#This Row],[f_facturacion]])</f>
        <v>2018</v>
      </c>
      <c r="H111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118">
        <f>+IF(Tabla__192.168.1.8_POSEIDONSQL_APPFVT_01_SQLFacturasRendidas[[#This Row],[epc_nombre]]="RENDIDA",1,0)</f>
        <v>1</v>
      </c>
      <c r="J1118">
        <f>+IF(Tabla__192.168.1.8_POSEIDONSQL_APPFVT_01_SQLFacturasRendidas[[#This Row],[usu_codigo]]="","",1)</f>
        <v>1</v>
      </c>
    </row>
    <row r="1119" spans="1:10" x14ac:dyDescent="0.25">
      <c r="A1119">
        <v>1</v>
      </c>
      <c r="B1119">
        <v>3</v>
      </c>
      <c r="C1119" t="s">
        <v>81</v>
      </c>
      <c r="D1119" t="s">
        <v>15</v>
      </c>
      <c r="E1119" t="s">
        <v>58</v>
      </c>
      <c r="F1119">
        <v>93734</v>
      </c>
      <c r="G1119">
        <f>+YEAR(Tabla__192.168.1.8_POSEIDONSQL_APPFVT_01_SQLFacturasRendidas[[#This Row],[f_facturacion]])</f>
        <v>2018</v>
      </c>
      <c r="H111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119">
        <f>+IF(Tabla__192.168.1.8_POSEIDONSQL_APPFVT_01_SQLFacturasRendidas[[#This Row],[epc_nombre]]="RENDIDA",1,0)</f>
        <v>1</v>
      </c>
      <c r="J1119">
        <f>+IF(Tabla__192.168.1.8_POSEIDONSQL_APPFVT_01_SQLFacturasRendidas[[#This Row],[usu_codigo]]="","",1)</f>
        <v>1</v>
      </c>
    </row>
    <row r="1120" spans="1:10" x14ac:dyDescent="0.25">
      <c r="A1120">
        <v>1</v>
      </c>
      <c r="B1120">
        <v>3</v>
      </c>
      <c r="C1120" t="s">
        <v>81</v>
      </c>
      <c r="D1120" t="s">
        <v>15</v>
      </c>
      <c r="E1120" t="s">
        <v>58</v>
      </c>
      <c r="F1120">
        <v>93735</v>
      </c>
      <c r="G1120">
        <f>+YEAR(Tabla__192.168.1.8_POSEIDONSQL_APPFVT_01_SQLFacturasRendidas[[#This Row],[f_facturacion]])</f>
        <v>2018</v>
      </c>
      <c r="H112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120">
        <f>+IF(Tabla__192.168.1.8_POSEIDONSQL_APPFVT_01_SQLFacturasRendidas[[#This Row],[epc_nombre]]="RENDIDA",1,0)</f>
        <v>1</v>
      </c>
      <c r="J1120">
        <f>+IF(Tabla__192.168.1.8_POSEIDONSQL_APPFVT_01_SQLFacturasRendidas[[#This Row],[usu_codigo]]="","",1)</f>
        <v>1</v>
      </c>
    </row>
    <row r="1121" spans="1:10" x14ac:dyDescent="0.25">
      <c r="A1121">
        <v>1</v>
      </c>
      <c r="B1121">
        <v>3</v>
      </c>
      <c r="C1121" t="s">
        <v>81</v>
      </c>
      <c r="D1121" t="s">
        <v>15</v>
      </c>
      <c r="E1121" t="s">
        <v>58</v>
      </c>
      <c r="F1121">
        <v>93736</v>
      </c>
      <c r="G1121">
        <f>+YEAR(Tabla__192.168.1.8_POSEIDONSQL_APPFVT_01_SQLFacturasRendidas[[#This Row],[f_facturacion]])</f>
        <v>2018</v>
      </c>
      <c r="H112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121">
        <f>+IF(Tabla__192.168.1.8_POSEIDONSQL_APPFVT_01_SQLFacturasRendidas[[#This Row],[epc_nombre]]="RENDIDA",1,0)</f>
        <v>1</v>
      </c>
      <c r="J1121">
        <f>+IF(Tabla__192.168.1.8_POSEIDONSQL_APPFVT_01_SQLFacturasRendidas[[#This Row],[usu_codigo]]="","",1)</f>
        <v>1</v>
      </c>
    </row>
    <row r="1122" spans="1:10" x14ac:dyDescent="0.25">
      <c r="A1122">
        <v>1</v>
      </c>
      <c r="B1122">
        <v>3</v>
      </c>
      <c r="C1122" t="s">
        <v>81</v>
      </c>
      <c r="D1122" t="s">
        <v>15</v>
      </c>
      <c r="E1122" t="s">
        <v>58</v>
      </c>
      <c r="F1122">
        <v>93737</v>
      </c>
      <c r="G1122">
        <f>+YEAR(Tabla__192.168.1.8_POSEIDONSQL_APPFVT_01_SQLFacturasRendidas[[#This Row],[f_facturacion]])</f>
        <v>2018</v>
      </c>
      <c r="H112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122">
        <f>+IF(Tabla__192.168.1.8_POSEIDONSQL_APPFVT_01_SQLFacturasRendidas[[#This Row],[epc_nombre]]="RENDIDA",1,0)</f>
        <v>1</v>
      </c>
      <c r="J1122">
        <f>+IF(Tabla__192.168.1.8_POSEIDONSQL_APPFVT_01_SQLFacturasRendidas[[#This Row],[usu_codigo]]="","",1)</f>
        <v>1</v>
      </c>
    </row>
    <row r="1123" spans="1:10" x14ac:dyDescent="0.25">
      <c r="A1123">
        <v>1</v>
      </c>
      <c r="B1123">
        <v>3</v>
      </c>
      <c r="C1123" t="s">
        <v>81</v>
      </c>
      <c r="D1123" t="s">
        <v>15</v>
      </c>
      <c r="E1123" t="s">
        <v>60</v>
      </c>
      <c r="F1123">
        <v>93737</v>
      </c>
      <c r="G1123">
        <f>+YEAR(Tabla__192.168.1.8_POSEIDONSQL_APPFVT_01_SQLFacturasRendidas[[#This Row],[f_facturacion]])</f>
        <v>2018</v>
      </c>
      <c r="H112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123">
        <f>+IF(Tabla__192.168.1.8_POSEIDONSQL_APPFVT_01_SQLFacturasRendidas[[#This Row],[epc_nombre]]="RENDIDA",1,0)</f>
        <v>1</v>
      </c>
      <c r="J1123">
        <f>+IF(Tabla__192.168.1.8_POSEIDONSQL_APPFVT_01_SQLFacturasRendidas[[#This Row],[usu_codigo]]="","",1)</f>
        <v>1</v>
      </c>
    </row>
    <row r="1124" spans="1:10" x14ac:dyDescent="0.25">
      <c r="A1124">
        <v>1</v>
      </c>
      <c r="B1124">
        <v>3</v>
      </c>
      <c r="C1124" t="s">
        <v>81</v>
      </c>
      <c r="D1124" t="s">
        <v>15</v>
      </c>
      <c r="E1124" t="s">
        <v>59</v>
      </c>
      <c r="F1124">
        <v>93774</v>
      </c>
      <c r="G1124">
        <f>+YEAR(Tabla__192.168.1.8_POSEIDONSQL_APPFVT_01_SQLFacturasRendidas[[#This Row],[f_facturacion]])</f>
        <v>2018</v>
      </c>
      <c r="H112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124">
        <f>+IF(Tabla__192.168.1.8_POSEIDONSQL_APPFVT_01_SQLFacturasRendidas[[#This Row],[epc_nombre]]="RENDIDA",1,0)</f>
        <v>1</v>
      </c>
      <c r="J1124">
        <f>+IF(Tabla__192.168.1.8_POSEIDONSQL_APPFVT_01_SQLFacturasRendidas[[#This Row],[usu_codigo]]="","",1)</f>
        <v>1</v>
      </c>
    </row>
    <row r="1125" spans="1:10" x14ac:dyDescent="0.25">
      <c r="A1125">
        <v>1</v>
      </c>
      <c r="B1125">
        <v>3</v>
      </c>
      <c r="C1125" t="s">
        <v>12</v>
      </c>
      <c r="D1125" t="s">
        <v>15</v>
      </c>
      <c r="E1125" t="s">
        <v>78</v>
      </c>
      <c r="F1125">
        <v>90243</v>
      </c>
      <c r="G1125">
        <f>+YEAR(Tabla__192.168.1.8_POSEIDONSQL_APPFVT_01_SQLFacturasRendidas[[#This Row],[f_facturacion]])</f>
        <v>2018</v>
      </c>
      <c r="H112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125">
        <f>+IF(Tabla__192.168.1.8_POSEIDONSQL_APPFVT_01_SQLFacturasRendidas[[#This Row],[epc_nombre]]="RENDIDA",1,0)</f>
        <v>1</v>
      </c>
      <c r="J1125">
        <f>+IF(Tabla__192.168.1.8_POSEIDONSQL_APPFVT_01_SQLFacturasRendidas[[#This Row],[usu_codigo]]="","",1)</f>
        <v>1</v>
      </c>
    </row>
    <row r="1126" spans="1:10" x14ac:dyDescent="0.25">
      <c r="A1126">
        <v>1</v>
      </c>
      <c r="B1126">
        <v>3</v>
      </c>
      <c r="C1126" t="s">
        <v>12</v>
      </c>
      <c r="D1126" t="s">
        <v>15</v>
      </c>
      <c r="E1126" t="s">
        <v>78</v>
      </c>
      <c r="F1126">
        <v>90244</v>
      </c>
      <c r="G1126">
        <f>+YEAR(Tabla__192.168.1.8_POSEIDONSQL_APPFVT_01_SQLFacturasRendidas[[#This Row],[f_facturacion]])</f>
        <v>2018</v>
      </c>
      <c r="H112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126">
        <f>+IF(Tabla__192.168.1.8_POSEIDONSQL_APPFVT_01_SQLFacturasRendidas[[#This Row],[epc_nombre]]="RENDIDA",1,0)</f>
        <v>1</v>
      </c>
      <c r="J1126">
        <f>+IF(Tabla__192.168.1.8_POSEIDONSQL_APPFVT_01_SQLFacturasRendidas[[#This Row],[usu_codigo]]="","",1)</f>
        <v>1</v>
      </c>
    </row>
    <row r="1127" spans="1:10" x14ac:dyDescent="0.25">
      <c r="A1127">
        <v>1</v>
      </c>
      <c r="B1127">
        <v>3</v>
      </c>
      <c r="C1127" t="s">
        <v>12</v>
      </c>
      <c r="D1127" t="s">
        <v>15</v>
      </c>
      <c r="E1127" t="s">
        <v>78</v>
      </c>
      <c r="F1127">
        <v>90245</v>
      </c>
      <c r="G1127">
        <f>+YEAR(Tabla__192.168.1.8_POSEIDONSQL_APPFVT_01_SQLFacturasRendidas[[#This Row],[f_facturacion]])</f>
        <v>2018</v>
      </c>
      <c r="H112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127">
        <f>+IF(Tabla__192.168.1.8_POSEIDONSQL_APPFVT_01_SQLFacturasRendidas[[#This Row],[epc_nombre]]="RENDIDA",1,0)</f>
        <v>1</v>
      </c>
      <c r="J1127">
        <f>+IF(Tabla__192.168.1.8_POSEIDONSQL_APPFVT_01_SQLFacturasRendidas[[#This Row],[usu_codigo]]="","",1)</f>
        <v>1</v>
      </c>
    </row>
    <row r="1128" spans="1:10" x14ac:dyDescent="0.25">
      <c r="A1128">
        <v>1</v>
      </c>
      <c r="B1128">
        <v>3</v>
      </c>
      <c r="C1128" t="s">
        <v>12</v>
      </c>
      <c r="D1128" t="s">
        <v>15</v>
      </c>
      <c r="E1128" t="s">
        <v>78</v>
      </c>
      <c r="F1128">
        <v>90246</v>
      </c>
      <c r="G1128">
        <f>+YEAR(Tabla__192.168.1.8_POSEIDONSQL_APPFVT_01_SQLFacturasRendidas[[#This Row],[f_facturacion]])</f>
        <v>2018</v>
      </c>
      <c r="H112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128">
        <f>+IF(Tabla__192.168.1.8_POSEIDONSQL_APPFVT_01_SQLFacturasRendidas[[#This Row],[epc_nombre]]="RENDIDA",1,0)</f>
        <v>1</v>
      </c>
      <c r="J1128">
        <f>+IF(Tabla__192.168.1.8_POSEIDONSQL_APPFVT_01_SQLFacturasRendidas[[#This Row],[usu_codigo]]="","",1)</f>
        <v>1</v>
      </c>
    </row>
    <row r="1129" spans="1:10" x14ac:dyDescent="0.25">
      <c r="A1129">
        <v>1</v>
      </c>
      <c r="B1129">
        <v>3</v>
      </c>
      <c r="C1129" t="s">
        <v>12</v>
      </c>
      <c r="D1129" t="s">
        <v>15</v>
      </c>
      <c r="E1129" t="s">
        <v>78</v>
      </c>
      <c r="F1129">
        <v>90247</v>
      </c>
      <c r="G1129">
        <f>+YEAR(Tabla__192.168.1.8_POSEIDONSQL_APPFVT_01_SQLFacturasRendidas[[#This Row],[f_facturacion]])</f>
        <v>2018</v>
      </c>
      <c r="H112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129">
        <f>+IF(Tabla__192.168.1.8_POSEIDONSQL_APPFVT_01_SQLFacturasRendidas[[#This Row],[epc_nombre]]="RENDIDA",1,0)</f>
        <v>1</v>
      </c>
      <c r="J1129">
        <f>+IF(Tabla__192.168.1.8_POSEIDONSQL_APPFVT_01_SQLFacturasRendidas[[#This Row],[usu_codigo]]="","",1)</f>
        <v>1</v>
      </c>
    </row>
    <row r="1130" spans="1:10" x14ac:dyDescent="0.25">
      <c r="A1130">
        <v>1</v>
      </c>
      <c r="B1130">
        <v>3</v>
      </c>
      <c r="C1130" t="s">
        <v>12</v>
      </c>
      <c r="D1130" t="s">
        <v>15</v>
      </c>
      <c r="E1130" t="s">
        <v>78</v>
      </c>
      <c r="F1130">
        <v>90248</v>
      </c>
      <c r="G1130">
        <f>+YEAR(Tabla__192.168.1.8_POSEIDONSQL_APPFVT_01_SQLFacturasRendidas[[#This Row],[f_facturacion]])</f>
        <v>2018</v>
      </c>
      <c r="H113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130">
        <f>+IF(Tabla__192.168.1.8_POSEIDONSQL_APPFVT_01_SQLFacturasRendidas[[#This Row],[epc_nombre]]="RENDIDA",1,0)</f>
        <v>1</v>
      </c>
      <c r="J1130">
        <f>+IF(Tabla__192.168.1.8_POSEIDONSQL_APPFVT_01_SQLFacturasRendidas[[#This Row],[usu_codigo]]="","",1)</f>
        <v>1</v>
      </c>
    </row>
    <row r="1131" spans="1:10" x14ac:dyDescent="0.25">
      <c r="A1131">
        <v>1</v>
      </c>
      <c r="B1131">
        <v>3</v>
      </c>
      <c r="C1131" t="s">
        <v>12</v>
      </c>
      <c r="D1131" t="s">
        <v>15</v>
      </c>
      <c r="E1131" t="s">
        <v>37</v>
      </c>
      <c r="F1131">
        <v>90374</v>
      </c>
      <c r="G1131">
        <f>+YEAR(Tabla__192.168.1.8_POSEIDONSQL_APPFVT_01_SQLFacturasRendidas[[#This Row],[f_facturacion]])</f>
        <v>2018</v>
      </c>
      <c r="H113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131">
        <f>+IF(Tabla__192.168.1.8_POSEIDONSQL_APPFVT_01_SQLFacturasRendidas[[#This Row],[epc_nombre]]="RENDIDA",1,0)</f>
        <v>1</v>
      </c>
      <c r="J1131">
        <f>+IF(Tabla__192.168.1.8_POSEIDONSQL_APPFVT_01_SQLFacturasRendidas[[#This Row],[usu_codigo]]="","",1)</f>
        <v>1</v>
      </c>
    </row>
    <row r="1132" spans="1:10" x14ac:dyDescent="0.25">
      <c r="A1132">
        <v>1</v>
      </c>
      <c r="B1132">
        <v>3</v>
      </c>
      <c r="C1132" t="s">
        <v>12</v>
      </c>
      <c r="D1132" t="s">
        <v>15</v>
      </c>
      <c r="E1132" t="s">
        <v>37</v>
      </c>
      <c r="F1132">
        <v>90375</v>
      </c>
      <c r="G1132">
        <f>+YEAR(Tabla__192.168.1.8_POSEIDONSQL_APPFVT_01_SQLFacturasRendidas[[#This Row],[f_facturacion]])</f>
        <v>2018</v>
      </c>
      <c r="H113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132">
        <f>+IF(Tabla__192.168.1.8_POSEIDONSQL_APPFVT_01_SQLFacturasRendidas[[#This Row],[epc_nombre]]="RENDIDA",1,0)</f>
        <v>1</v>
      </c>
      <c r="J1132">
        <f>+IF(Tabla__192.168.1.8_POSEIDONSQL_APPFVT_01_SQLFacturasRendidas[[#This Row],[usu_codigo]]="","",1)</f>
        <v>1</v>
      </c>
    </row>
    <row r="1133" spans="1:10" x14ac:dyDescent="0.25">
      <c r="A1133">
        <v>1</v>
      </c>
      <c r="B1133">
        <v>3</v>
      </c>
      <c r="C1133" t="s">
        <v>12</v>
      </c>
      <c r="D1133" t="s">
        <v>15</v>
      </c>
      <c r="E1133" t="s">
        <v>37</v>
      </c>
      <c r="F1133">
        <v>90376</v>
      </c>
      <c r="G1133">
        <f>+YEAR(Tabla__192.168.1.8_POSEIDONSQL_APPFVT_01_SQLFacturasRendidas[[#This Row],[f_facturacion]])</f>
        <v>2018</v>
      </c>
      <c r="H113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133">
        <f>+IF(Tabla__192.168.1.8_POSEIDONSQL_APPFVT_01_SQLFacturasRendidas[[#This Row],[epc_nombre]]="RENDIDA",1,0)</f>
        <v>1</v>
      </c>
      <c r="J1133">
        <f>+IF(Tabla__192.168.1.8_POSEIDONSQL_APPFVT_01_SQLFacturasRendidas[[#This Row],[usu_codigo]]="","",1)</f>
        <v>1</v>
      </c>
    </row>
    <row r="1134" spans="1:10" x14ac:dyDescent="0.25">
      <c r="A1134">
        <v>1</v>
      </c>
      <c r="B1134">
        <v>3</v>
      </c>
      <c r="C1134" t="s">
        <v>12</v>
      </c>
      <c r="D1134" t="s">
        <v>15</v>
      </c>
      <c r="E1134" t="s">
        <v>38</v>
      </c>
      <c r="F1134">
        <v>90473</v>
      </c>
      <c r="G1134">
        <f>+YEAR(Tabla__192.168.1.8_POSEIDONSQL_APPFVT_01_SQLFacturasRendidas[[#This Row],[f_facturacion]])</f>
        <v>2018</v>
      </c>
      <c r="H113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134">
        <f>+IF(Tabla__192.168.1.8_POSEIDONSQL_APPFVT_01_SQLFacturasRendidas[[#This Row],[epc_nombre]]="RENDIDA",1,0)</f>
        <v>1</v>
      </c>
      <c r="J1134">
        <f>+IF(Tabla__192.168.1.8_POSEIDONSQL_APPFVT_01_SQLFacturasRendidas[[#This Row],[usu_codigo]]="","",1)</f>
        <v>1</v>
      </c>
    </row>
    <row r="1135" spans="1:10" x14ac:dyDescent="0.25">
      <c r="A1135">
        <v>1</v>
      </c>
      <c r="B1135">
        <v>3</v>
      </c>
      <c r="C1135" t="s">
        <v>12</v>
      </c>
      <c r="D1135" t="s">
        <v>15</v>
      </c>
      <c r="E1135" t="s">
        <v>70</v>
      </c>
      <c r="F1135">
        <v>90559</v>
      </c>
      <c r="G1135">
        <f>+YEAR(Tabla__192.168.1.8_POSEIDONSQL_APPFVT_01_SQLFacturasRendidas[[#This Row],[f_facturacion]])</f>
        <v>2018</v>
      </c>
      <c r="H113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135">
        <f>+IF(Tabla__192.168.1.8_POSEIDONSQL_APPFVT_01_SQLFacturasRendidas[[#This Row],[epc_nombre]]="RENDIDA",1,0)</f>
        <v>1</v>
      </c>
      <c r="J1135">
        <f>+IF(Tabla__192.168.1.8_POSEIDONSQL_APPFVT_01_SQLFacturasRendidas[[#This Row],[usu_codigo]]="","",1)</f>
        <v>1</v>
      </c>
    </row>
    <row r="1136" spans="1:10" x14ac:dyDescent="0.25">
      <c r="A1136">
        <v>1</v>
      </c>
      <c r="B1136">
        <v>3</v>
      </c>
      <c r="C1136" t="s">
        <v>12</v>
      </c>
      <c r="D1136" t="s">
        <v>15</v>
      </c>
      <c r="E1136" t="s">
        <v>70</v>
      </c>
      <c r="F1136">
        <v>90602</v>
      </c>
      <c r="G1136">
        <f>+YEAR(Tabla__192.168.1.8_POSEIDONSQL_APPFVT_01_SQLFacturasRendidas[[#This Row],[f_facturacion]])</f>
        <v>2018</v>
      </c>
      <c r="H113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136">
        <f>+IF(Tabla__192.168.1.8_POSEIDONSQL_APPFVT_01_SQLFacturasRendidas[[#This Row],[epc_nombre]]="RENDIDA",1,0)</f>
        <v>1</v>
      </c>
      <c r="J1136">
        <f>+IF(Tabla__192.168.1.8_POSEIDONSQL_APPFVT_01_SQLFacturasRendidas[[#This Row],[usu_codigo]]="","",1)</f>
        <v>1</v>
      </c>
    </row>
    <row r="1137" spans="1:10" x14ac:dyDescent="0.25">
      <c r="A1137">
        <v>1</v>
      </c>
      <c r="B1137">
        <v>3</v>
      </c>
      <c r="C1137" t="s">
        <v>12</v>
      </c>
      <c r="D1137" t="s">
        <v>15</v>
      </c>
      <c r="E1137" t="s">
        <v>70</v>
      </c>
      <c r="F1137">
        <v>90603</v>
      </c>
      <c r="G1137">
        <f>+YEAR(Tabla__192.168.1.8_POSEIDONSQL_APPFVT_01_SQLFacturasRendidas[[#This Row],[f_facturacion]])</f>
        <v>2018</v>
      </c>
      <c r="H113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137">
        <f>+IF(Tabla__192.168.1.8_POSEIDONSQL_APPFVT_01_SQLFacturasRendidas[[#This Row],[epc_nombre]]="RENDIDA",1,0)</f>
        <v>1</v>
      </c>
      <c r="J1137">
        <f>+IF(Tabla__192.168.1.8_POSEIDONSQL_APPFVT_01_SQLFacturasRendidas[[#This Row],[usu_codigo]]="","",1)</f>
        <v>1</v>
      </c>
    </row>
    <row r="1138" spans="1:10" x14ac:dyDescent="0.25">
      <c r="A1138">
        <v>1</v>
      </c>
      <c r="B1138">
        <v>3</v>
      </c>
      <c r="C1138" t="s">
        <v>12</v>
      </c>
      <c r="D1138" t="s">
        <v>15</v>
      </c>
      <c r="E1138" t="s">
        <v>71</v>
      </c>
      <c r="F1138">
        <v>90763</v>
      </c>
      <c r="G1138">
        <f>+YEAR(Tabla__192.168.1.8_POSEIDONSQL_APPFVT_01_SQLFacturasRendidas[[#This Row],[f_facturacion]])</f>
        <v>2018</v>
      </c>
      <c r="H113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138">
        <f>+IF(Tabla__192.168.1.8_POSEIDONSQL_APPFVT_01_SQLFacturasRendidas[[#This Row],[epc_nombre]]="RENDIDA",1,0)</f>
        <v>1</v>
      </c>
      <c r="J1138">
        <f>+IF(Tabla__192.168.1.8_POSEIDONSQL_APPFVT_01_SQLFacturasRendidas[[#This Row],[usu_codigo]]="","",1)</f>
        <v>1</v>
      </c>
    </row>
    <row r="1139" spans="1:10" x14ac:dyDescent="0.25">
      <c r="A1139">
        <v>1</v>
      </c>
      <c r="B1139">
        <v>3</v>
      </c>
      <c r="C1139" t="s">
        <v>12</v>
      </c>
      <c r="D1139" t="s">
        <v>15</v>
      </c>
      <c r="E1139" t="s">
        <v>71</v>
      </c>
      <c r="F1139">
        <v>90764</v>
      </c>
      <c r="G1139">
        <f>+YEAR(Tabla__192.168.1.8_POSEIDONSQL_APPFVT_01_SQLFacturasRendidas[[#This Row],[f_facturacion]])</f>
        <v>2018</v>
      </c>
      <c r="H113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139">
        <f>+IF(Tabla__192.168.1.8_POSEIDONSQL_APPFVT_01_SQLFacturasRendidas[[#This Row],[epc_nombre]]="RENDIDA",1,0)</f>
        <v>1</v>
      </c>
      <c r="J1139">
        <f>+IF(Tabla__192.168.1.8_POSEIDONSQL_APPFVT_01_SQLFacturasRendidas[[#This Row],[usu_codigo]]="","",1)</f>
        <v>1</v>
      </c>
    </row>
    <row r="1140" spans="1:10" x14ac:dyDescent="0.25">
      <c r="A1140">
        <v>1</v>
      </c>
      <c r="B1140">
        <v>3</v>
      </c>
      <c r="C1140" t="s">
        <v>12</v>
      </c>
      <c r="D1140" t="s">
        <v>15</v>
      </c>
      <c r="E1140" t="s">
        <v>71</v>
      </c>
      <c r="F1140">
        <v>90765</v>
      </c>
      <c r="G1140">
        <f>+YEAR(Tabla__192.168.1.8_POSEIDONSQL_APPFVT_01_SQLFacturasRendidas[[#This Row],[f_facturacion]])</f>
        <v>2018</v>
      </c>
      <c r="H114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140">
        <f>+IF(Tabla__192.168.1.8_POSEIDONSQL_APPFVT_01_SQLFacturasRendidas[[#This Row],[epc_nombre]]="RENDIDA",1,0)</f>
        <v>1</v>
      </c>
      <c r="J1140">
        <f>+IF(Tabla__192.168.1.8_POSEIDONSQL_APPFVT_01_SQLFacturasRendidas[[#This Row],[usu_codigo]]="","",1)</f>
        <v>1</v>
      </c>
    </row>
    <row r="1141" spans="1:10" x14ac:dyDescent="0.25">
      <c r="A1141">
        <v>1</v>
      </c>
      <c r="B1141">
        <v>3</v>
      </c>
      <c r="C1141" t="s">
        <v>12</v>
      </c>
      <c r="D1141" t="s">
        <v>15</v>
      </c>
      <c r="E1141" t="s">
        <v>71</v>
      </c>
      <c r="F1141">
        <v>90766</v>
      </c>
      <c r="G1141">
        <f>+YEAR(Tabla__192.168.1.8_POSEIDONSQL_APPFVT_01_SQLFacturasRendidas[[#This Row],[f_facturacion]])</f>
        <v>2018</v>
      </c>
      <c r="H114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141">
        <f>+IF(Tabla__192.168.1.8_POSEIDONSQL_APPFVT_01_SQLFacturasRendidas[[#This Row],[epc_nombre]]="RENDIDA",1,0)</f>
        <v>1</v>
      </c>
      <c r="J1141">
        <f>+IF(Tabla__192.168.1.8_POSEIDONSQL_APPFVT_01_SQLFacturasRendidas[[#This Row],[usu_codigo]]="","",1)</f>
        <v>1</v>
      </c>
    </row>
    <row r="1142" spans="1:10" x14ac:dyDescent="0.25">
      <c r="A1142">
        <v>1</v>
      </c>
      <c r="B1142">
        <v>3</v>
      </c>
      <c r="C1142" t="s">
        <v>12</v>
      </c>
      <c r="D1142" t="s">
        <v>15</v>
      </c>
      <c r="E1142" t="s">
        <v>71</v>
      </c>
      <c r="F1142">
        <v>90767</v>
      </c>
      <c r="G1142">
        <f>+YEAR(Tabla__192.168.1.8_POSEIDONSQL_APPFVT_01_SQLFacturasRendidas[[#This Row],[f_facturacion]])</f>
        <v>2018</v>
      </c>
      <c r="H114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142">
        <f>+IF(Tabla__192.168.1.8_POSEIDONSQL_APPFVT_01_SQLFacturasRendidas[[#This Row],[epc_nombre]]="RENDIDA",1,0)</f>
        <v>1</v>
      </c>
      <c r="J1142">
        <f>+IF(Tabla__192.168.1.8_POSEIDONSQL_APPFVT_01_SQLFacturasRendidas[[#This Row],[usu_codigo]]="","",1)</f>
        <v>1</v>
      </c>
    </row>
    <row r="1143" spans="1:10" x14ac:dyDescent="0.25">
      <c r="A1143">
        <v>1</v>
      </c>
      <c r="B1143">
        <v>3</v>
      </c>
      <c r="C1143" t="s">
        <v>12</v>
      </c>
      <c r="D1143" t="s">
        <v>15</v>
      </c>
      <c r="E1143" t="s">
        <v>71</v>
      </c>
      <c r="F1143">
        <v>90768</v>
      </c>
      <c r="G1143">
        <f>+YEAR(Tabla__192.168.1.8_POSEIDONSQL_APPFVT_01_SQLFacturasRendidas[[#This Row],[f_facturacion]])</f>
        <v>2018</v>
      </c>
      <c r="H114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143">
        <f>+IF(Tabla__192.168.1.8_POSEIDONSQL_APPFVT_01_SQLFacturasRendidas[[#This Row],[epc_nombre]]="RENDIDA",1,0)</f>
        <v>1</v>
      </c>
      <c r="J1143">
        <f>+IF(Tabla__192.168.1.8_POSEIDONSQL_APPFVT_01_SQLFacturasRendidas[[#This Row],[usu_codigo]]="","",1)</f>
        <v>1</v>
      </c>
    </row>
    <row r="1144" spans="1:10" x14ac:dyDescent="0.25">
      <c r="A1144">
        <v>1</v>
      </c>
      <c r="B1144">
        <v>3</v>
      </c>
      <c r="C1144" t="s">
        <v>12</v>
      </c>
      <c r="D1144" t="s">
        <v>15</v>
      </c>
      <c r="E1144" t="s">
        <v>71</v>
      </c>
      <c r="F1144">
        <v>90769</v>
      </c>
      <c r="G1144">
        <f>+YEAR(Tabla__192.168.1.8_POSEIDONSQL_APPFVT_01_SQLFacturasRendidas[[#This Row],[f_facturacion]])</f>
        <v>2018</v>
      </c>
      <c r="H114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144">
        <f>+IF(Tabla__192.168.1.8_POSEIDONSQL_APPFVT_01_SQLFacturasRendidas[[#This Row],[epc_nombre]]="RENDIDA",1,0)</f>
        <v>1</v>
      </c>
      <c r="J1144">
        <f>+IF(Tabla__192.168.1.8_POSEIDONSQL_APPFVT_01_SQLFacturasRendidas[[#This Row],[usu_codigo]]="","",1)</f>
        <v>1</v>
      </c>
    </row>
    <row r="1145" spans="1:10" x14ac:dyDescent="0.25">
      <c r="A1145">
        <v>1</v>
      </c>
      <c r="B1145">
        <v>3</v>
      </c>
      <c r="C1145" t="s">
        <v>12</v>
      </c>
      <c r="D1145" t="s">
        <v>15</v>
      </c>
      <c r="E1145" t="s">
        <v>71</v>
      </c>
      <c r="F1145">
        <v>90770</v>
      </c>
      <c r="G1145">
        <f>+YEAR(Tabla__192.168.1.8_POSEIDONSQL_APPFVT_01_SQLFacturasRendidas[[#This Row],[f_facturacion]])</f>
        <v>2018</v>
      </c>
      <c r="H114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145">
        <f>+IF(Tabla__192.168.1.8_POSEIDONSQL_APPFVT_01_SQLFacturasRendidas[[#This Row],[epc_nombre]]="RENDIDA",1,0)</f>
        <v>1</v>
      </c>
      <c r="J1145">
        <f>+IF(Tabla__192.168.1.8_POSEIDONSQL_APPFVT_01_SQLFacturasRendidas[[#This Row],[usu_codigo]]="","",1)</f>
        <v>1</v>
      </c>
    </row>
    <row r="1146" spans="1:10" x14ac:dyDescent="0.25">
      <c r="A1146">
        <v>1</v>
      </c>
      <c r="B1146">
        <v>3</v>
      </c>
      <c r="C1146" t="s">
        <v>12</v>
      </c>
      <c r="D1146" t="s">
        <v>15</v>
      </c>
      <c r="E1146" t="s">
        <v>72</v>
      </c>
      <c r="F1146">
        <v>90898</v>
      </c>
      <c r="G1146">
        <f>+YEAR(Tabla__192.168.1.8_POSEIDONSQL_APPFVT_01_SQLFacturasRendidas[[#This Row],[f_facturacion]])</f>
        <v>2018</v>
      </c>
      <c r="H114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146">
        <f>+IF(Tabla__192.168.1.8_POSEIDONSQL_APPFVT_01_SQLFacturasRendidas[[#This Row],[epc_nombre]]="RENDIDA",1,0)</f>
        <v>1</v>
      </c>
      <c r="J1146">
        <f>+IF(Tabla__192.168.1.8_POSEIDONSQL_APPFVT_01_SQLFacturasRendidas[[#This Row],[usu_codigo]]="","",1)</f>
        <v>1</v>
      </c>
    </row>
    <row r="1147" spans="1:10" x14ac:dyDescent="0.25">
      <c r="A1147">
        <v>1</v>
      </c>
      <c r="B1147">
        <v>3</v>
      </c>
      <c r="C1147" t="s">
        <v>12</v>
      </c>
      <c r="D1147" t="s">
        <v>15</v>
      </c>
      <c r="E1147" t="s">
        <v>17</v>
      </c>
      <c r="F1147">
        <v>91032</v>
      </c>
      <c r="G1147">
        <f>+YEAR(Tabla__192.168.1.8_POSEIDONSQL_APPFVT_01_SQLFacturasRendidas[[#This Row],[f_facturacion]])</f>
        <v>2018</v>
      </c>
      <c r="H114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147">
        <f>+IF(Tabla__192.168.1.8_POSEIDONSQL_APPFVT_01_SQLFacturasRendidas[[#This Row],[epc_nombre]]="RENDIDA",1,0)</f>
        <v>1</v>
      </c>
      <c r="J1147">
        <f>+IF(Tabla__192.168.1.8_POSEIDONSQL_APPFVT_01_SQLFacturasRendidas[[#This Row],[usu_codigo]]="","",1)</f>
        <v>1</v>
      </c>
    </row>
    <row r="1148" spans="1:10" x14ac:dyDescent="0.25">
      <c r="A1148">
        <v>1</v>
      </c>
      <c r="B1148">
        <v>3</v>
      </c>
      <c r="C1148" t="s">
        <v>12</v>
      </c>
      <c r="D1148" t="s">
        <v>15</v>
      </c>
      <c r="E1148" t="s">
        <v>17</v>
      </c>
      <c r="F1148">
        <v>91033</v>
      </c>
      <c r="G1148">
        <f>+YEAR(Tabla__192.168.1.8_POSEIDONSQL_APPFVT_01_SQLFacturasRendidas[[#This Row],[f_facturacion]])</f>
        <v>2018</v>
      </c>
      <c r="H114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148">
        <f>+IF(Tabla__192.168.1.8_POSEIDONSQL_APPFVT_01_SQLFacturasRendidas[[#This Row],[epc_nombre]]="RENDIDA",1,0)</f>
        <v>1</v>
      </c>
      <c r="J1148">
        <f>+IF(Tabla__192.168.1.8_POSEIDONSQL_APPFVT_01_SQLFacturasRendidas[[#This Row],[usu_codigo]]="","",1)</f>
        <v>1</v>
      </c>
    </row>
    <row r="1149" spans="1:10" x14ac:dyDescent="0.25">
      <c r="A1149">
        <v>1</v>
      </c>
      <c r="B1149">
        <v>3</v>
      </c>
      <c r="C1149" t="s">
        <v>12</v>
      </c>
      <c r="D1149" t="s">
        <v>15</v>
      </c>
      <c r="E1149" t="s">
        <v>17</v>
      </c>
      <c r="F1149">
        <v>91034</v>
      </c>
      <c r="G1149">
        <f>+YEAR(Tabla__192.168.1.8_POSEIDONSQL_APPFVT_01_SQLFacturasRendidas[[#This Row],[f_facturacion]])</f>
        <v>2018</v>
      </c>
      <c r="H114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149">
        <f>+IF(Tabla__192.168.1.8_POSEIDONSQL_APPFVT_01_SQLFacturasRendidas[[#This Row],[epc_nombre]]="RENDIDA",1,0)</f>
        <v>1</v>
      </c>
      <c r="J1149">
        <f>+IF(Tabla__192.168.1.8_POSEIDONSQL_APPFVT_01_SQLFacturasRendidas[[#This Row],[usu_codigo]]="","",1)</f>
        <v>1</v>
      </c>
    </row>
    <row r="1150" spans="1:10" x14ac:dyDescent="0.25">
      <c r="A1150">
        <v>1</v>
      </c>
      <c r="B1150">
        <v>3</v>
      </c>
      <c r="C1150" t="s">
        <v>12</v>
      </c>
      <c r="D1150" t="s">
        <v>15</v>
      </c>
      <c r="E1150" t="s">
        <v>42</v>
      </c>
      <c r="F1150">
        <v>91063</v>
      </c>
      <c r="G1150">
        <f>+YEAR(Tabla__192.168.1.8_POSEIDONSQL_APPFVT_01_SQLFacturasRendidas[[#This Row],[f_facturacion]])</f>
        <v>2018</v>
      </c>
      <c r="H115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150">
        <f>+IF(Tabla__192.168.1.8_POSEIDONSQL_APPFVT_01_SQLFacturasRendidas[[#This Row],[epc_nombre]]="RENDIDA",1,0)</f>
        <v>1</v>
      </c>
      <c r="J1150">
        <f>+IF(Tabla__192.168.1.8_POSEIDONSQL_APPFVT_01_SQLFacturasRendidas[[#This Row],[usu_codigo]]="","",1)</f>
        <v>1</v>
      </c>
    </row>
    <row r="1151" spans="1:10" x14ac:dyDescent="0.25">
      <c r="A1151">
        <v>1</v>
      </c>
      <c r="B1151">
        <v>3</v>
      </c>
      <c r="C1151" t="s">
        <v>12</v>
      </c>
      <c r="D1151" t="s">
        <v>15</v>
      </c>
      <c r="E1151" t="s">
        <v>42</v>
      </c>
      <c r="F1151">
        <v>91064</v>
      </c>
      <c r="G1151">
        <f>+YEAR(Tabla__192.168.1.8_POSEIDONSQL_APPFVT_01_SQLFacturasRendidas[[#This Row],[f_facturacion]])</f>
        <v>2018</v>
      </c>
      <c r="H115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151">
        <f>+IF(Tabla__192.168.1.8_POSEIDONSQL_APPFVT_01_SQLFacturasRendidas[[#This Row],[epc_nombre]]="RENDIDA",1,0)</f>
        <v>1</v>
      </c>
      <c r="J1151">
        <f>+IF(Tabla__192.168.1.8_POSEIDONSQL_APPFVT_01_SQLFacturasRendidas[[#This Row],[usu_codigo]]="","",1)</f>
        <v>1</v>
      </c>
    </row>
    <row r="1152" spans="1:10" x14ac:dyDescent="0.25">
      <c r="A1152">
        <v>1</v>
      </c>
      <c r="B1152">
        <v>3</v>
      </c>
      <c r="C1152" t="s">
        <v>12</v>
      </c>
      <c r="D1152" t="s">
        <v>15</v>
      </c>
      <c r="E1152" t="s">
        <v>42</v>
      </c>
      <c r="F1152">
        <v>91065</v>
      </c>
      <c r="G1152">
        <f>+YEAR(Tabla__192.168.1.8_POSEIDONSQL_APPFVT_01_SQLFacturasRendidas[[#This Row],[f_facturacion]])</f>
        <v>2018</v>
      </c>
      <c r="H115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152">
        <f>+IF(Tabla__192.168.1.8_POSEIDONSQL_APPFVT_01_SQLFacturasRendidas[[#This Row],[epc_nombre]]="RENDIDA",1,0)</f>
        <v>1</v>
      </c>
      <c r="J1152">
        <f>+IF(Tabla__192.168.1.8_POSEIDONSQL_APPFVT_01_SQLFacturasRendidas[[#This Row],[usu_codigo]]="","",1)</f>
        <v>1</v>
      </c>
    </row>
    <row r="1153" spans="1:10" x14ac:dyDescent="0.25">
      <c r="A1153">
        <v>1</v>
      </c>
      <c r="B1153">
        <v>3</v>
      </c>
      <c r="C1153" t="s">
        <v>12</v>
      </c>
      <c r="D1153" t="s">
        <v>15</v>
      </c>
      <c r="E1153" t="s">
        <v>42</v>
      </c>
      <c r="F1153">
        <v>91066</v>
      </c>
      <c r="G1153">
        <f>+YEAR(Tabla__192.168.1.8_POSEIDONSQL_APPFVT_01_SQLFacturasRendidas[[#This Row],[f_facturacion]])</f>
        <v>2018</v>
      </c>
      <c r="H115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153">
        <f>+IF(Tabla__192.168.1.8_POSEIDONSQL_APPFVT_01_SQLFacturasRendidas[[#This Row],[epc_nombre]]="RENDIDA",1,0)</f>
        <v>1</v>
      </c>
      <c r="J1153">
        <f>+IF(Tabla__192.168.1.8_POSEIDONSQL_APPFVT_01_SQLFacturasRendidas[[#This Row],[usu_codigo]]="","",1)</f>
        <v>1</v>
      </c>
    </row>
    <row r="1154" spans="1:10" x14ac:dyDescent="0.25">
      <c r="A1154">
        <v>1</v>
      </c>
      <c r="B1154">
        <v>3</v>
      </c>
      <c r="C1154" t="s">
        <v>12</v>
      </c>
      <c r="D1154" t="s">
        <v>15</v>
      </c>
      <c r="E1154" t="s">
        <v>42</v>
      </c>
      <c r="F1154">
        <v>91067</v>
      </c>
      <c r="G1154">
        <f>+YEAR(Tabla__192.168.1.8_POSEIDONSQL_APPFVT_01_SQLFacturasRendidas[[#This Row],[f_facturacion]])</f>
        <v>2018</v>
      </c>
      <c r="H115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154">
        <f>+IF(Tabla__192.168.1.8_POSEIDONSQL_APPFVT_01_SQLFacturasRendidas[[#This Row],[epc_nombre]]="RENDIDA",1,0)</f>
        <v>1</v>
      </c>
      <c r="J1154">
        <f>+IF(Tabla__192.168.1.8_POSEIDONSQL_APPFVT_01_SQLFacturasRendidas[[#This Row],[usu_codigo]]="","",1)</f>
        <v>1</v>
      </c>
    </row>
    <row r="1155" spans="1:10" x14ac:dyDescent="0.25">
      <c r="A1155">
        <v>1</v>
      </c>
      <c r="B1155">
        <v>3</v>
      </c>
      <c r="C1155" t="s">
        <v>12</v>
      </c>
      <c r="D1155" t="s">
        <v>15</v>
      </c>
      <c r="E1155" t="s">
        <v>18</v>
      </c>
      <c r="F1155">
        <v>91293</v>
      </c>
      <c r="G1155">
        <f>+YEAR(Tabla__192.168.1.8_POSEIDONSQL_APPFVT_01_SQLFacturasRendidas[[#This Row],[f_facturacion]])</f>
        <v>2018</v>
      </c>
      <c r="H115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155">
        <f>+IF(Tabla__192.168.1.8_POSEIDONSQL_APPFVT_01_SQLFacturasRendidas[[#This Row],[epc_nombre]]="RENDIDA",1,0)</f>
        <v>1</v>
      </c>
      <c r="J1155">
        <f>+IF(Tabla__192.168.1.8_POSEIDONSQL_APPFVT_01_SQLFacturasRendidas[[#This Row],[usu_codigo]]="","",1)</f>
        <v>1</v>
      </c>
    </row>
    <row r="1156" spans="1:10" x14ac:dyDescent="0.25">
      <c r="A1156">
        <v>1</v>
      </c>
      <c r="B1156">
        <v>3</v>
      </c>
      <c r="C1156" t="s">
        <v>12</v>
      </c>
      <c r="D1156" t="s">
        <v>15</v>
      </c>
      <c r="E1156" t="s">
        <v>44</v>
      </c>
      <c r="F1156">
        <v>91361</v>
      </c>
      <c r="G1156">
        <f>+YEAR(Tabla__192.168.1.8_POSEIDONSQL_APPFVT_01_SQLFacturasRendidas[[#This Row],[f_facturacion]])</f>
        <v>2018</v>
      </c>
      <c r="H115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156">
        <f>+IF(Tabla__192.168.1.8_POSEIDONSQL_APPFVT_01_SQLFacturasRendidas[[#This Row],[epc_nombre]]="RENDIDA",1,0)</f>
        <v>1</v>
      </c>
      <c r="J1156">
        <f>+IF(Tabla__192.168.1.8_POSEIDONSQL_APPFVT_01_SQLFacturasRendidas[[#This Row],[usu_codigo]]="","",1)</f>
        <v>1</v>
      </c>
    </row>
    <row r="1157" spans="1:10" x14ac:dyDescent="0.25">
      <c r="A1157">
        <v>1</v>
      </c>
      <c r="B1157">
        <v>3</v>
      </c>
      <c r="C1157" t="s">
        <v>12</v>
      </c>
      <c r="D1157" t="s">
        <v>15</v>
      </c>
      <c r="E1157" t="s">
        <v>44</v>
      </c>
      <c r="F1157">
        <v>91362</v>
      </c>
      <c r="G1157">
        <f>+YEAR(Tabla__192.168.1.8_POSEIDONSQL_APPFVT_01_SQLFacturasRendidas[[#This Row],[f_facturacion]])</f>
        <v>2018</v>
      </c>
      <c r="H115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157">
        <f>+IF(Tabla__192.168.1.8_POSEIDONSQL_APPFVT_01_SQLFacturasRendidas[[#This Row],[epc_nombre]]="RENDIDA",1,0)</f>
        <v>1</v>
      </c>
      <c r="J1157">
        <f>+IF(Tabla__192.168.1.8_POSEIDONSQL_APPFVT_01_SQLFacturasRendidas[[#This Row],[usu_codigo]]="","",1)</f>
        <v>1</v>
      </c>
    </row>
    <row r="1158" spans="1:10" x14ac:dyDescent="0.25">
      <c r="A1158">
        <v>1</v>
      </c>
      <c r="B1158">
        <v>3</v>
      </c>
      <c r="C1158" t="s">
        <v>12</v>
      </c>
      <c r="D1158" t="s">
        <v>15</v>
      </c>
      <c r="E1158" t="s">
        <v>44</v>
      </c>
      <c r="F1158">
        <v>91395</v>
      </c>
      <c r="G1158">
        <f>+YEAR(Tabla__192.168.1.8_POSEIDONSQL_APPFVT_01_SQLFacturasRendidas[[#This Row],[f_facturacion]])</f>
        <v>2018</v>
      </c>
      <c r="H115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158">
        <f>+IF(Tabla__192.168.1.8_POSEIDONSQL_APPFVT_01_SQLFacturasRendidas[[#This Row],[epc_nombre]]="RENDIDA",1,0)</f>
        <v>1</v>
      </c>
      <c r="J1158">
        <f>+IF(Tabla__192.168.1.8_POSEIDONSQL_APPFVT_01_SQLFacturasRendidas[[#This Row],[usu_codigo]]="","",1)</f>
        <v>1</v>
      </c>
    </row>
    <row r="1159" spans="1:10" x14ac:dyDescent="0.25">
      <c r="A1159">
        <v>1</v>
      </c>
      <c r="B1159">
        <v>3</v>
      </c>
      <c r="C1159" t="s">
        <v>12</v>
      </c>
      <c r="D1159" t="s">
        <v>15</v>
      </c>
      <c r="E1159" t="s">
        <v>44</v>
      </c>
      <c r="F1159">
        <v>91396</v>
      </c>
      <c r="G1159">
        <f>+YEAR(Tabla__192.168.1.8_POSEIDONSQL_APPFVT_01_SQLFacturasRendidas[[#This Row],[f_facturacion]])</f>
        <v>2018</v>
      </c>
      <c r="H115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159">
        <f>+IF(Tabla__192.168.1.8_POSEIDONSQL_APPFVT_01_SQLFacturasRendidas[[#This Row],[epc_nombre]]="RENDIDA",1,0)</f>
        <v>1</v>
      </c>
      <c r="J1159">
        <f>+IF(Tabla__192.168.1.8_POSEIDONSQL_APPFVT_01_SQLFacturasRendidas[[#This Row],[usu_codigo]]="","",1)</f>
        <v>1</v>
      </c>
    </row>
    <row r="1160" spans="1:10" x14ac:dyDescent="0.25">
      <c r="A1160">
        <v>1</v>
      </c>
      <c r="B1160">
        <v>3</v>
      </c>
      <c r="C1160" t="s">
        <v>12</v>
      </c>
      <c r="D1160" t="s">
        <v>15</v>
      </c>
      <c r="E1160" t="s">
        <v>44</v>
      </c>
      <c r="F1160">
        <v>91397</v>
      </c>
      <c r="G1160">
        <f>+YEAR(Tabla__192.168.1.8_POSEIDONSQL_APPFVT_01_SQLFacturasRendidas[[#This Row],[f_facturacion]])</f>
        <v>2018</v>
      </c>
      <c r="H116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160">
        <f>+IF(Tabla__192.168.1.8_POSEIDONSQL_APPFVT_01_SQLFacturasRendidas[[#This Row],[epc_nombre]]="RENDIDA",1,0)</f>
        <v>1</v>
      </c>
      <c r="J1160">
        <f>+IF(Tabla__192.168.1.8_POSEIDONSQL_APPFVT_01_SQLFacturasRendidas[[#This Row],[usu_codigo]]="","",1)</f>
        <v>1</v>
      </c>
    </row>
    <row r="1161" spans="1:10" x14ac:dyDescent="0.25">
      <c r="A1161">
        <v>1</v>
      </c>
      <c r="B1161">
        <v>3</v>
      </c>
      <c r="C1161" t="s">
        <v>12</v>
      </c>
      <c r="D1161" t="s">
        <v>15</v>
      </c>
      <c r="E1161" t="s">
        <v>44</v>
      </c>
      <c r="F1161">
        <v>91398</v>
      </c>
      <c r="G1161">
        <f>+YEAR(Tabla__192.168.1.8_POSEIDONSQL_APPFVT_01_SQLFacturasRendidas[[#This Row],[f_facturacion]])</f>
        <v>2018</v>
      </c>
      <c r="H116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161">
        <f>+IF(Tabla__192.168.1.8_POSEIDONSQL_APPFVT_01_SQLFacturasRendidas[[#This Row],[epc_nombre]]="RENDIDA",1,0)</f>
        <v>1</v>
      </c>
      <c r="J1161">
        <f>+IF(Tabla__192.168.1.8_POSEIDONSQL_APPFVT_01_SQLFacturasRendidas[[#This Row],[usu_codigo]]="","",1)</f>
        <v>1</v>
      </c>
    </row>
    <row r="1162" spans="1:10" x14ac:dyDescent="0.25">
      <c r="A1162">
        <v>1</v>
      </c>
      <c r="B1162">
        <v>3</v>
      </c>
      <c r="C1162" t="s">
        <v>12</v>
      </c>
      <c r="D1162" t="s">
        <v>15</v>
      </c>
      <c r="E1162" t="s">
        <v>44</v>
      </c>
      <c r="F1162">
        <v>91399</v>
      </c>
      <c r="G1162">
        <f>+YEAR(Tabla__192.168.1.8_POSEIDONSQL_APPFVT_01_SQLFacturasRendidas[[#This Row],[f_facturacion]])</f>
        <v>2018</v>
      </c>
      <c r="H116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162">
        <f>+IF(Tabla__192.168.1.8_POSEIDONSQL_APPFVT_01_SQLFacturasRendidas[[#This Row],[epc_nombre]]="RENDIDA",1,0)</f>
        <v>1</v>
      </c>
      <c r="J1162">
        <f>+IF(Tabla__192.168.1.8_POSEIDONSQL_APPFVT_01_SQLFacturasRendidas[[#This Row],[usu_codigo]]="","",1)</f>
        <v>1</v>
      </c>
    </row>
    <row r="1163" spans="1:10" x14ac:dyDescent="0.25">
      <c r="A1163">
        <v>1</v>
      </c>
      <c r="B1163">
        <v>3</v>
      </c>
      <c r="C1163" t="s">
        <v>12</v>
      </c>
      <c r="D1163" t="s">
        <v>15</v>
      </c>
      <c r="E1163" t="s">
        <v>44</v>
      </c>
      <c r="F1163">
        <v>91400</v>
      </c>
      <c r="G1163">
        <f>+YEAR(Tabla__192.168.1.8_POSEIDONSQL_APPFVT_01_SQLFacturasRendidas[[#This Row],[f_facturacion]])</f>
        <v>2018</v>
      </c>
      <c r="H116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163">
        <f>+IF(Tabla__192.168.1.8_POSEIDONSQL_APPFVT_01_SQLFacturasRendidas[[#This Row],[epc_nombre]]="RENDIDA",1,0)</f>
        <v>1</v>
      </c>
      <c r="J1163">
        <f>+IF(Tabla__192.168.1.8_POSEIDONSQL_APPFVT_01_SQLFacturasRendidas[[#This Row],[usu_codigo]]="","",1)</f>
        <v>1</v>
      </c>
    </row>
    <row r="1164" spans="1:10" x14ac:dyDescent="0.25">
      <c r="A1164">
        <v>1</v>
      </c>
      <c r="B1164">
        <v>3</v>
      </c>
      <c r="C1164" t="s">
        <v>12</v>
      </c>
      <c r="D1164" t="s">
        <v>15</v>
      </c>
      <c r="E1164" t="s">
        <v>19</v>
      </c>
      <c r="F1164">
        <v>91461</v>
      </c>
      <c r="G1164">
        <f>+YEAR(Tabla__192.168.1.8_POSEIDONSQL_APPFVT_01_SQLFacturasRendidas[[#This Row],[f_facturacion]])</f>
        <v>2018</v>
      </c>
      <c r="H116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164">
        <f>+IF(Tabla__192.168.1.8_POSEIDONSQL_APPFVT_01_SQLFacturasRendidas[[#This Row],[epc_nombre]]="RENDIDA",1,0)</f>
        <v>1</v>
      </c>
      <c r="J1164">
        <f>+IF(Tabla__192.168.1.8_POSEIDONSQL_APPFVT_01_SQLFacturasRendidas[[#This Row],[usu_codigo]]="","",1)</f>
        <v>1</v>
      </c>
    </row>
    <row r="1165" spans="1:10" x14ac:dyDescent="0.25">
      <c r="A1165">
        <v>1</v>
      </c>
      <c r="B1165">
        <v>3</v>
      </c>
      <c r="C1165" t="s">
        <v>12</v>
      </c>
      <c r="D1165" t="s">
        <v>15</v>
      </c>
      <c r="E1165" t="s">
        <v>45</v>
      </c>
      <c r="F1165">
        <v>91463</v>
      </c>
      <c r="G1165">
        <f>+YEAR(Tabla__192.168.1.8_POSEIDONSQL_APPFVT_01_SQLFacturasRendidas[[#This Row],[f_facturacion]])</f>
        <v>2018</v>
      </c>
      <c r="H116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165">
        <f>+IF(Tabla__192.168.1.8_POSEIDONSQL_APPFVT_01_SQLFacturasRendidas[[#This Row],[epc_nombre]]="RENDIDA",1,0)</f>
        <v>1</v>
      </c>
      <c r="J1165">
        <f>+IF(Tabla__192.168.1.8_POSEIDONSQL_APPFVT_01_SQLFacturasRendidas[[#This Row],[usu_codigo]]="","",1)</f>
        <v>1</v>
      </c>
    </row>
    <row r="1166" spans="1:10" x14ac:dyDescent="0.25">
      <c r="A1166">
        <v>1</v>
      </c>
      <c r="B1166">
        <v>3</v>
      </c>
      <c r="C1166" t="s">
        <v>12</v>
      </c>
      <c r="D1166" t="s">
        <v>15</v>
      </c>
      <c r="E1166" t="s">
        <v>45</v>
      </c>
      <c r="F1166">
        <v>91500</v>
      </c>
      <c r="G1166">
        <f>+YEAR(Tabla__192.168.1.8_POSEIDONSQL_APPFVT_01_SQLFacturasRendidas[[#This Row],[f_facturacion]])</f>
        <v>2018</v>
      </c>
      <c r="H116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166">
        <f>+IF(Tabla__192.168.1.8_POSEIDONSQL_APPFVT_01_SQLFacturasRendidas[[#This Row],[epc_nombre]]="RENDIDA",1,0)</f>
        <v>1</v>
      </c>
      <c r="J1166">
        <f>+IF(Tabla__192.168.1.8_POSEIDONSQL_APPFVT_01_SQLFacturasRendidas[[#This Row],[usu_codigo]]="","",1)</f>
        <v>1</v>
      </c>
    </row>
    <row r="1167" spans="1:10" x14ac:dyDescent="0.25">
      <c r="A1167">
        <v>1</v>
      </c>
      <c r="B1167">
        <v>3</v>
      </c>
      <c r="C1167" t="s">
        <v>12</v>
      </c>
      <c r="D1167" t="s">
        <v>15</v>
      </c>
      <c r="E1167" t="s">
        <v>45</v>
      </c>
      <c r="F1167">
        <v>91501</v>
      </c>
      <c r="G1167">
        <f>+YEAR(Tabla__192.168.1.8_POSEIDONSQL_APPFVT_01_SQLFacturasRendidas[[#This Row],[f_facturacion]])</f>
        <v>2018</v>
      </c>
      <c r="H116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167">
        <f>+IF(Tabla__192.168.1.8_POSEIDONSQL_APPFVT_01_SQLFacturasRendidas[[#This Row],[epc_nombre]]="RENDIDA",1,0)</f>
        <v>1</v>
      </c>
      <c r="J1167">
        <f>+IF(Tabla__192.168.1.8_POSEIDONSQL_APPFVT_01_SQLFacturasRendidas[[#This Row],[usu_codigo]]="","",1)</f>
        <v>1</v>
      </c>
    </row>
    <row r="1168" spans="1:10" x14ac:dyDescent="0.25">
      <c r="A1168">
        <v>1</v>
      </c>
      <c r="B1168">
        <v>3</v>
      </c>
      <c r="C1168" t="s">
        <v>12</v>
      </c>
      <c r="D1168" t="s">
        <v>15</v>
      </c>
      <c r="E1168" t="s">
        <v>45</v>
      </c>
      <c r="F1168">
        <v>91502</v>
      </c>
      <c r="G1168">
        <f>+YEAR(Tabla__192.168.1.8_POSEIDONSQL_APPFVT_01_SQLFacturasRendidas[[#This Row],[f_facturacion]])</f>
        <v>2018</v>
      </c>
      <c r="H116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168">
        <f>+IF(Tabla__192.168.1.8_POSEIDONSQL_APPFVT_01_SQLFacturasRendidas[[#This Row],[epc_nombre]]="RENDIDA",1,0)</f>
        <v>1</v>
      </c>
      <c r="J1168">
        <f>+IF(Tabla__192.168.1.8_POSEIDONSQL_APPFVT_01_SQLFacturasRendidas[[#This Row],[usu_codigo]]="","",1)</f>
        <v>1</v>
      </c>
    </row>
    <row r="1169" spans="1:10" x14ac:dyDescent="0.25">
      <c r="A1169">
        <v>1</v>
      </c>
      <c r="B1169">
        <v>3</v>
      </c>
      <c r="C1169" t="s">
        <v>12</v>
      </c>
      <c r="D1169" t="s">
        <v>15</v>
      </c>
      <c r="E1169" t="s">
        <v>53</v>
      </c>
      <c r="F1169">
        <v>93032</v>
      </c>
      <c r="G1169">
        <f>+YEAR(Tabla__192.168.1.8_POSEIDONSQL_APPFVT_01_SQLFacturasRendidas[[#This Row],[f_facturacion]])</f>
        <v>2018</v>
      </c>
      <c r="H116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169">
        <f>+IF(Tabla__192.168.1.8_POSEIDONSQL_APPFVT_01_SQLFacturasRendidas[[#This Row],[epc_nombre]]="RENDIDA",1,0)</f>
        <v>1</v>
      </c>
      <c r="J1169">
        <f>+IF(Tabla__192.168.1.8_POSEIDONSQL_APPFVT_01_SQLFacturasRendidas[[#This Row],[usu_codigo]]="","",1)</f>
        <v>1</v>
      </c>
    </row>
    <row r="1170" spans="1:10" x14ac:dyDescent="0.25">
      <c r="A1170">
        <v>1</v>
      </c>
      <c r="B1170">
        <v>3</v>
      </c>
      <c r="C1170" t="s">
        <v>12</v>
      </c>
      <c r="D1170" t="s">
        <v>15</v>
      </c>
      <c r="E1170" t="s">
        <v>54</v>
      </c>
      <c r="F1170">
        <v>93119</v>
      </c>
      <c r="G1170">
        <f>+YEAR(Tabla__192.168.1.8_POSEIDONSQL_APPFVT_01_SQLFacturasRendidas[[#This Row],[f_facturacion]])</f>
        <v>2018</v>
      </c>
      <c r="H117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170">
        <f>+IF(Tabla__192.168.1.8_POSEIDONSQL_APPFVT_01_SQLFacturasRendidas[[#This Row],[epc_nombre]]="RENDIDA",1,0)</f>
        <v>1</v>
      </c>
      <c r="J1170">
        <f>+IF(Tabla__192.168.1.8_POSEIDONSQL_APPFVT_01_SQLFacturasRendidas[[#This Row],[usu_codigo]]="","",1)</f>
        <v>1</v>
      </c>
    </row>
    <row r="1171" spans="1:10" x14ac:dyDescent="0.25">
      <c r="A1171">
        <v>1</v>
      </c>
      <c r="B1171">
        <v>3</v>
      </c>
      <c r="C1171" t="s">
        <v>12</v>
      </c>
      <c r="D1171" t="s">
        <v>15</v>
      </c>
      <c r="E1171" t="s">
        <v>54</v>
      </c>
      <c r="F1171">
        <v>93120</v>
      </c>
      <c r="G1171">
        <f>+YEAR(Tabla__192.168.1.8_POSEIDONSQL_APPFVT_01_SQLFacturasRendidas[[#This Row],[f_facturacion]])</f>
        <v>2018</v>
      </c>
      <c r="H117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171">
        <f>+IF(Tabla__192.168.1.8_POSEIDONSQL_APPFVT_01_SQLFacturasRendidas[[#This Row],[epc_nombre]]="RENDIDA",1,0)</f>
        <v>1</v>
      </c>
      <c r="J1171">
        <f>+IF(Tabla__192.168.1.8_POSEIDONSQL_APPFVT_01_SQLFacturasRendidas[[#This Row],[usu_codigo]]="","",1)</f>
        <v>1</v>
      </c>
    </row>
    <row r="1172" spans="1:10" x14ac:dyDescent="0.25">
      <c r="A1172">
        <v>1</v>
      </c>
      <c r="B1172">
        <v>3</v>
      </c>
      <c r="C1172" t="s">
        <v>12</v>
      </c>
      <c r="D1172" t="s">
        <v>15</v>
      </c>
      <c r="E1172" t="s">
        <v>54</v>
      </c>
      <c r="F1172">
        <v>93121</v>
      </c>
      <c r="G1172">
        <f>+YEAR(Tabla__192.168.1.8_POSEIDONSQL_APPFVT_01_SQLFacturasRendidas[[#This Row],[f_facturacion]])</f>
        <v>2018</v>
      </c>
      <c r="H117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172">
        <f>+IF(Tabla__192.168.1.8_POSEIDONSQL_APPFVT_01_SQLFacturasRendidas[[#This Row],[epc_nombre]]="RENDIDA",1,0)</f>
        <v>1</v>
      </c>
      <c r="J1172">
        <f>+IF(Tabla__192.168.1.8_POSEIDONSQL_APPFVT_01_SQLFacturasRendidas[[#This Row],[usu_codigo]]="","",1)</f>
        <v>1</v>
      </c>
    </row>
    <row r="1173" spans="1:10" x14ac:dyDescent="0.25">
      <c r="A1173">
        <v>1</v>
      </c>
      <c r="B1173">
        <v>3</v>
      </c>
      <c r="C1173" t="s">
        <v>12</v>
      </c>
      <c r="D1173" t="s">
        <v>15</v>
      </c>
      <c r="E1173" t="s">
        <v>54</v>
      </c>
      <c r="F1173">
        <v>93122</v>
      </c>
      <c r="G1173">
        <f>+YEAR(Tabla__192.168.1.8_POSEIDONSQL_APPFVT_01_SQLFacturasRendidas[[#This Row],[f_facturacion]])</f>
        <v>2018</v>
      </c>
      <c r="H117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173">
        <f>+IF(Tabla__192.168.1.8_POSEIDONSQL_APPFVT_01_SQLFacturasRendidas[[#This Row],[epc_nombre]]="RENDIDA",1,0)</f>
        <v>1</v>
      </c>
      <c r="J1173">
        <f>+IF(Tabla__192.168.1.8_POSEIDONSQL_APPFVT_01_SQLFacturasRendidas[[#This Row],[usu_codigo]]="","",1)</f>
        <v>1</v>
      </c>
    </row>
    <row r="1174" spans="1:10" x14ac:dyDescent="0.25">
      <c r="A1174">
        <v>1</v>
      </c>
      <c r="B1174">
        <v>3</v>
      </c>
      <c r="C1174" t="s">
        <v>12</v>
      </c>
      <c r="D1174" t="s">
        <v>15</v>
      </c>
      <c r="E1174" t="s">
        <v>54</v>
      </c>
      <c r="F1174">
        <v>93123</v>
      </c>
      <c r="G1174">
        <f>+YEAR(Tabla__192.168.1.8_POSEIDONSQL_APPFVT_01_SQLFacturasRendidas[[#This Row],[f_facturacion]])</f>
        <v>2018</v>
      </c>
      <c r="H117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174">
        <f>+IF(Tabla__192.168.1.8_POSEIDONSQL_APPFVT_01_SQLFacturasRendidas[[#This Row],[epc_nombre]]="RENDIDA",1,0)</f>
        <v>1</v>
      </c>
      <c r="J1174">
        <f>+IF(Tabla__192.168.1.8_POSEIDONSQL_APPFVT_01_SQLFacturasRendidas[[#This Row],[usu_codigo]]="","",1)</f>
        <v>1</v>
      </c>
    </row>
    <row r="1175" spans="1:10" x14ac:dyDescent="0.25">
      <c r="A1175">
        <v>1</v>
      </c>
      <c r="B1175">
        <v>3</v>
      </c>
      <c r="C1175" t="s">
        <v>12</v>
      </c>
      <c r="D1175" t="s">
        <v>15</v>
      </c>
      <c r="E1175" t="s">
        <v>54</v>
      </c>
      <c r="F1175">
        <v>93124</v>
      </c>
      <c r="G1175">
        <f>+YEAR(Tabla__192.168.1.8_POSEIDONSQL_APPFVT_01_SQLFacturasRendidas[[#This Row],[f_facturacion]])</f>
        <v>2018</v>
      </c>
      <c r="H117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175">
        <f>+IF(Tabla__192.168.1.8_POSEIDONSQL_APPFVT_01_SQLFacturasRendidas[[#This Row],[epc_nombre]]="RENDIDA",1,0)</f>
        <v>1</v>
      </c>
      <c r="J1175">
        <f>+IF(Tabla__192.168.1.8_POSEIDONSQL_APPFVT_01_SQLFacturasRendidas[[#This Row],[usu_codigo]]="","",1)</f>
        <v>1</v>
      </c>
    </row>
    <row r="1176" spans="1:10" x14ac:dyDescent="0.25">
      <c r="A1176">
        <v>1</v>
      </c>
      <c r="B1176">
        <v>3</v>
      </c>
      <c r="C1176" t="s">
        <v>12</v>
      </c>
      <c r="D1176" t="s">
        <v>15</v>
      </c>
      <c r="E1176" t="s">
        <v>54</v>
      </c>
      <c r="F1176">
        <v>93125</v>
      </c>
      <c r="G1176">
        <f>+YEAR(Tabla__192.168.1.8_POSEIDONSQL_APPFVT_01_SQLFacturasRendidas[[#This Row],[f_facturacion]])</f>
        <v>2018</v>
      </c>
      <c r="H117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176">
        <f>+IF(Tabla__192.168.1.8_POSEIDONSQL_APPFVT_01_SQLFacturasRendidas[[#This Row],[epc_nombre]]="RENDIDA",1,0)</f>
        <v>1</v>
      </c>
      <c r="J1176">
        <f>+IF(Tabla__192.168.1.8_POSEIDONSQL_APPFVT_01_SQLFacturasRendidas[[#This Row],[usu_codigo]]="","",1)</f>
        <v>1</v>
      </c>
    </row>
    <row r="1177" spans="1:10" x14ac:dyDescent="0.25">
      <c r="A1177">
        <v>1</v>
      </c>
      <c r="B1177">
        <v>3</v>
      </c>
      <c r="C1177" t="s">
        <v>12</v>
      </c>
      <c r="D1177" t="s">
        <v>15</v>
      </c>
      <c r="E1177" t="s">
        <v>54</v>
      </c>
      <c r="F1177">
        <v>93126</v>
      </c>
      <c r="G1177">
        <f>+YEAR(Tabla__192.168.1.8_POSEIDONSQL_APPFVT_01_SQLFacturasRendidas[[#This Row],[f_facturacion]])</f>
        <v>2018</v>
      </c>
      <c r="H117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177">
        <f>+IF(Tabla__192.168.1.8_POSEIDONSQL_APPFVT_01_SQLFacturasRendidas[[#This Row],[epc_nombre]]="RENDIDA",1,0)</f>
        <v>1</v>
      </c>
      <c r="J1177">
        <f>+IF(Tabla__192.168.1.8_POSEIDONSQL_APPFVT_01_SQLFacturasRendidas[[#This Row],[usu_codigo]]="","",1)</f>
        <v>1</v>
      </c>
    </row>
    <row r="1178" spans="1:10" x14ac:dyDescent="0.25">
      <c r="A1178">
        <v>1</v>
      </c>
      <c r="B1178">
        <v>3</v>
      </c>
      <c r="C1178" t="s">
        <v>12</v>
      </c>
      <c r="D1178" t="s">
        <v>15</v>
      </c>
      <c r="E1178" t="s">
        <v>69</v>
      </c>
      <c r="F1178">
        <v>93183</v>
      </c>
      <c r="G1178">
        <f>+YEAR(Tabla__192.168.1.8_POSEIDONSQL_APPFVT_01_SQLFacturasRendidas[[#This Row],[f_facturacion]])</f>
        <v>2018</v>
      </c>
      <c r="H117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178">
        <f>+IF(Tabla__192.168.1.8_POSEIDONSQL_APPFVT_01_SQLFacturasRendidas[[#This Row],[epc_nombre]]="RENDIDA",1,0)</f>
        <v>1</v>
      </c>
      <c r="J1178">
        <f>+IF(Tabla__192.168.1.8_POSEIDONSQL_APPFVT_01_SQLFacturasRendidas[[#This Row],[usu_codigo]]="","",1)</f>
        <v>1</v>
      </c>
    </row>
    <row r="1179" spans="1:10" x14ac:dyDescent="0.25">
      <c r="A1179">
        <v>1</v>
      </c>
      <c r="B1179">
        <v>3</v>
      </c>
      <c r="C1179" t="s">
        <v>12</v>
      </c>
      <c r="D1179" t="s">
        <v>15</v>
      </c>
      <c r="E1179" t="s">
        <v>55</v>
      </c>
      <c r="F1179">
        <v>93184</v>
      </c>
      <c r="G1179">
        <f>+YEAR(Tabla__192.168.1.8_POSEIDONSQL_APPFVT_01_SQLFacturasRendidas[[#This Row],[f_facturacion]])</f>
        <v>2018</v>
      </c>
      <c r="H117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179">
        <f>+IF(Tabla__192.168.1.8_POSEIDONSQL_APPFVT_01_SQLFacturasRendidas[[#This Row],[epc_nombre]]="RENDIDA",1,0)</f>
        <v>1</v>
      </c>
      <c r="J1179">
        <f>+IF(Tabla__192.168.1.8_POSEIDONSQL_APPFVT_01_SQLFacturasRendidas[[#This Row],[usu_codigo]]="","",1)</f>
        <v>1</v>
      </c>
    </row>
    <row r="1180" spans="1:10" x14ac:dyDescent="0.25">
      <c r="A1180">
        <v>1</v>
      </c>
      <c r="B1180">
        <v>3</v>
      </c>
      <c r="C1180" t="s">
        <v>12</v>
      </c>
      <c r="D1180" t="s">
        <v>15</v>
      </c>
      <c r="E1180" t="s">
        <v>69</v>
      </c>
      <c r="F1180">
        <v>93185</v>
      </c>
      <c r="G1180">
        <f>+YEAR(Tabla__192.168.1.8_POSEIDONSQL_APPFVT_01_SQLFacturasRendidas[[#This Row],[f_facturacion]])</f>
        <v>2018</v>
      </c>
      <c r="H118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180">
        <f>+IF(Tabla__192.168.1.8_POSEIDONSQL_APPFVT_01_SQLFacturasRendidas[[#This Row],[epc_nombre]]="RENDIDA",1,0)</f>
        <v>1</v>
      </c>
      <c r="J1180">
        <f>+IF(Tabla__192.168.1.8_POSEIDONSQL_APPFVT_01_SQLFacturasRendidas[[#This Row],[usu_codigo]]="","",1)</f>
        <v>1</v>
      </c>
    </row>
    <row r="1181" spans="1:10" x14ac:dyDescent="0.25">
      <c r="A1181">
        <v>1</v>
      </c>
      <c r="B1181">
        <v>3</v>
      </c>
      <c r="C1181" t="s">
        <v>12</v>
      </c>
      <c r="D1181" t="s">
        <v>15</v>
      </c>
      <c r="E1181" t="s">
        <v>55</v>
      </c>
      <c r="F1181">
        <v>93297</v>
      </c>
      <c r="G1181">
        <f>+YEAR(Tabla__192.168.1.8_POSEIDONSQL_APPFVT_01_SQLFacturasRendidas[[#This Row],[f_facturacion]])</f>
        <v>2018</v>
      </c>
      <c r="H118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181">
        <f>+IF(Tabla__192.168.1.8_POSEIDONSQL_APPFVT_01_SQLFacturasRendidas[[#This Row],[epc_nombre]]="RENDIDA",1,0)</f>
        <v>1</v>
      </c>
      <c r="J1181">
        <f>+IF(Tabla__192.168.1.8_POSEIDONSQL_APPFVT_01_SQLFacturasRendidas[[#This Row],[usu_codigo]]="","",1)</f>
        <v>1</v>
      </c>
    </row>
    <row r="1182" spans="1:10" x14ac:dyDescent="0.25">
      <c r="A1182">
        <v>1</v>
      </c>
      <c r="B1182">
        <v>3</v>
      </c>
      <c r="C1182" t="s">
        <v>12</v>
      </c>
      <c r="D1182" t="s">
        <v>15</v>
      </c>
      <c r="E1182" t="s">
        <v>55</v>
      </c>
      <c r="F1182">
        <v>93301</v>
      </c>
      <c r="G1182">
        <f>+YEAR(Tabla__192.168.1.8_POSEIDONSQL_APPFVT_01_SQLFacturasRendidas[[#This Row],[f_facturacion]])</f>
        <v>2018</v>
      </c>
      <c r="H118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182">
        <f>+IF(Tabla__192.168.1.8_POSEIDONSQL_APPFVT_01_SQLFacturasRendidas[[#This Row],[epc_nombre]]="RENDIDA",1,0)</f>
        <v>1</v>
      </c>
      <c r="J1182">
        <f>+IF(Tabla__192.168.1.8_POSEIDONSQL_APPFVT_01_SQLFacturasRendidas[[#This Row],[usu_codigo]]="","",1)</f>
        <v>1</v>
      </c>
    </row>
    <row r="1183" spans="1:10" x14ac:dyDescent="0.25">
      <c r="A1183">
        <v>1</v>
      </c>
      <c r="B1183">
        <v>3</v>
      </c>
      <c r="C1183" t="s">
        <v>12</v>
      </c>
      <c r="D1183" t="s">
        <v>15</v>
      </c>
      <c r="E1183" t="s">
        <v>55</v>
      </c>
      <c r="F1183">
        <v>93302</v>
      </c>
      <c r="G1183">
        <f>+YEAR(Tabla__192.168.1.8_POSEIDONSQL_APPFVT_01_SQLFacturasRendidas[[#This Row],[f_facturacion]])</f>
        <v>2018</v>
      </c>
      <c r="H118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183">
        <f>+IF(Tabla__192.168.1.8_POSEIDONSQL_APPFVT_01_SQLFacturasRendidas[[#This Row],[epc_nombre]]="RENDIDA",1,0)</f>
        <v>1</v>
      </c>
      <c r="J1183">
        <f>+IF(Tabla__192.168.1.8_POSEIDONSQL_APPFVT_01_SQLFacturasRendidas[[#This Row],[usu_codigo]]="","",1)</f>
        <v>1</v>
      </c>
    </row>
    <row r="1184" spans="1:10" x14ac:dyDescent="0.25">
      <c r="A1184">
        <v>1</v>
      </c>
      <c r="B1184">
        <v>3</v>
      </c>
      <c r="C1184" t="s">
        <v>12</v>
      </c>
      <c r="D1184" t="s">
        <v>15</v>
      </c>
      <c r="E1184" t="s">
        <v>55</v>
      </c>
      <c r="F1184">
        <v>93303</v>
      </c>
      <c r="G1184">
        <f>+YEAR(Tabla__192.168.1.8_POSEIDONSQL_APPFVT_01_SQLFacturasRendidas[[#This Row],[f_facturacion]])</f>
        <v>2018</v>
      </c>
      <c r="H118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184">
        <f>+IF(Tabla__192.168.1.8_POSEIDONSQL_APPFVT_01_SQLFacturasRendidas[[#This Row],[epc_nombre]]="RENDIDA",1,0)</f>
        <v>1</v>
      </c>
      <c r="J1184">
        <f>+IF(Tabla__192.168.1.8_POSEIDONSQL_APPFVT_01_SQLFacturasRendidas[[#This Row],[usu_codigo]]="","",1)</f>
        <v>1</v>
      </c>
    </row>
    <row r="1185" spans="1:10" x14ac:dyDescent="0.25">
      <c r="A1185">
        <v>1</v>
      </c>
      <c r="B1185">
        <v>3</v>
      </c>
      <c r="C1185" t="s">
        <v>12</v>
      </c>
      <c r="D1185" t="s">
        <v>15</v>
      </c>
      <c r="E1185" t="s">
        <v>31</v>
      </c>
      <c r="F1185">
        <v>93416</v>
      </c>
      <c r="G1185">
        <f>+YEAR(Tabla__192.168.1.8_POSEIDONSQL_APPFVT_01_SQLFacturasRendidas[[#This Row],[f_facturacion]])</f>
        <v>2018</v>
      </c>
      <c r="H118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185">
        <f>+IF(Tabla__192.168.1.8_POSEIDONSQL_APPFVT_01_SQLFacturasRendidas[[#This Row],[epc_nombre]]="RENDIDA",1,0)</f>
        <v>1</v>
      </c>
      <c r="J1185">
        <f>+IF(Tabla__192.168.1.8_POSEIDONSQL_APPFVT_01_SQLFacturasRendidas[[#This Row],[usu_codigo]]="","",1)</f>
        <v>1</v>
      </c>
    </row>
    <row r="1186" spans="1:10" x14ac:dyDescent="0.25">
      <c r="A1186">
        <v>1</v>
      </c>
      <c r="B1186">
        <v>3</v>
      </c>
      <c r="C1186" t="s">
        <v>12</v>
      </c>
      <c r="D1186" t="s">
        <v>15</v>
      </c>
      <c r="E1186" t="s">
        <v>32</v>
      </c>
      <c r="F1186">
        <v>93421</v>
      </c>
      <c r="G1186">
        <f>+YEAR(Tabla__192.168.1.8_POSEIDONSQL_APPFVT_01_SQLFacturasRendidas[[#This Row],[f_facturacion]])</f>
        <v>2018</v>
      </c>
      <c r="H118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186">
        <f>+IF(Tabla__192.168.1.8_POSEIDONSQL_APPFVT_01_SQLFacturasRendidas[[#This Row],[epc_nombre]]="RENDIDA",1,0)</f>
        <v>1</v>
      </c>
      <c r="J1186">
        <f>+IF(Tabla__192.168.1.8_POSEIDONSQL_APPFVT_01_SQLFacturasRendidas[[#This Row],[usu_codigo]]="","",1)</f>
        <v>1</v>
      </c>
    </row>
    <row r="1187" spans="1:10" x14ac:dyDescent="0.25">
      <c r="A1187">
        <v>1</v>
      </c>
      <c r="B1187">
        <v>3</v>
      </c>
      <c r="C1187" t="s">
        <v>12</v>
      </c>
      <c r="D1187" t="s">
        <v>15</v>
      </c>
      <c r="E1187" t="s">
        <v>73</v>
      </c>
      <c r="F1187">
        <v>93491</v>
      </c>
      <c r="G1187">
        <f>+YEAR(Tabla__192.168.1.8_POSEIDONSQL_APPFVT_01_SQLFacturasRendidas[[#This Row],[f_facturacion]])</f>
        <v>2018</v>
      </c>
      <c r="H118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187">
        <f>+IF(Tabla__192.168.1.8_POSEIDONSQL_APPFVT_01_SQLFacturasRendidas[[#This Row],[epc_nombre]]="RENDIDA",1,0)</f>
        <v>1</v>
      </c>
      <c r="J1187">
        <f>+IF(Tabla__192.168.1.8_POSEIDONSQL_APPFVT_01_SQLFacturasRendidas[[#This Row],[usu_codigo]]="","",1)</f>
        <v>1</v>
      </c>
    </row>
    <row r="1188" spans="1:10" x14ac:dyDescent="0.25">
      <c r="A1188">
        <v>1</v>
      </c>
      <c r="B1188">
        <v>3</v>
      </c>
      <c r="C1188" t="s">
        <v>12</v>
      </c>
      <c r="D1188" t="s">
        <v>15</v>
      </c>
      <c r="E1188" t="s">
        <v>73</v>
      </c>
      <c r="F1188">
        <v>93492</v>
      </c>
      <c r="G1188">
        <f>+YEAR(Tabla__192.168.1.8_POSEIDONSQL_APPFVT_01_SQLFacturasRendidas[[#This Row],[f_facturacion]])</f>
        <v>2018</v>
      </c>
      <c r="H118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188">
        <f>+IF(Tabla__192.168.1.8_POSEIDONSQL_APPFVT_01_SQLFacturasRendidas[[#This Row],[epc_nombre]]="RENDIDA",1,0)</f>
        <v>1</v>
      </c>
      <c r="J1188">
        <f>+IF(Tabla__192.168.1.8_POSEIDONSQL_APPFVT_01_SQLFacturasRendidas[[#This Row],[usu_codigo]]="","",1)</f>
        <v>1</v>
      </c>
    </row>
    <row r="1189" spans="1:10" x14ac:dyDescent="0.25">
      <c r="A1189">
        <v>1</v>
      </c>
      <c r="B1189">
        <v>3</v>
      </c>
      <c r="C1189" t="s">
        <v>12</v>
      </c>
      <c r="D1189" t="s">
        <v>15</v>
      </c>
      <c r="E1189" t="s">
        <v>73</v>
      </c>
      <c r="F1189">
        <v>93493</v>
      </c>
      <c r="G1189">
        <f>+YEAR(Tabla__192.168.1.8_POSEIDONSQL_APPFVT_01_SQLFacturasRendidas[[#This Row],[f_facturacion]])</f>
        <v>2018</v>
      </c>
      <c r="H118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189">
        <f>+IF(Tabla__192.168.1.8_POSEIDONSQL_APPFVT_01_SQLFacturasRendidas[[#This Row],[epc_nombre]]="RENDIDA",1,0)</f>
        <v>1</v>
      </c>
      <c r="J1189">
        <f>+IF(Tabla__192.168.1.8_POSEIDONSQL_APPFVT_01_SQLFacturasRendidas[[#This Row],[usu_codigo]]="","",1)</f>
        <v>1</v>
      </c>
    </row>
    <row r="1190" spans="1:10" x14ac:dyDescent="0.25">
      <c r="A1190">
        <v>1</v>
      </c>
      <c r="B1190">
        <v>3</v>
      </c>
      <c r="C1190" t="s">
        <v>12</v>
      </c>
      <c r="D1190" t="s">
        <v>15</v>
      </c>
      <c r="E1190" t="s">
        <v>73</v>
      </c>
      <c r="F1190">
        <v>93494</v>
      </c>
      <c r="G1190">
        <f>+YEAR(Tabla__192.168.1.8_POSEIDONSQL_APPFVT_01_SQLFacturasRendidas[[#This Row],[f_facturacion]])</f>
        <v>2018</v>
      </c>
      <c r="H119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190">
        <f>+IF(Tabla__192.168.1.8_POSEIDONSQL_APPFVT_01_SQLFacturasRendidas[[#This Row],[epc_nombre]]="RENDIDA",1,0)</f>
        <v>1</v>
      </c>
      <c r="J1190">
        <f>+IF(Tabla__192.168.1.8_POSEIDONSQL_APPFVT_01_SQLFacturasRendidas[[#This Row],[usu_codigo]]="","",1)</f>
        <v>1</v>
      </c>
    </row>
    <row r="1191" spans="1:10" x14ac:dyDescent="0.25">
      <c r="A1191">
        <v>1</v>
      </c>
      <c r="B1191">
        <v>3</v>
      </c>
      <c r="C1191" t="s">
        <v>12</v>
      </c>
      <c r="D1191" t="s">
        <v>15</v>
      </c>
      <c r="E1191" t="s">
        <v>56</v>
      </c>
      <c r="F1191">
        <v>93541</v>
      </c>
      <c r="G1191">
        <f>+YEAR(Tabla__192.168.1.8_POSEIDONSQL_APPFVT_01_SQLFacturasRendidas[[#This Row],[f_facturacion]])</f>
        <v>2018</v>
      </c>
      <c r="H119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191">
        <f>+IF(Tabla__192.168.1.8_POSEIDONSQL_APPFVT_01_SQLFacturasRendidas[[#This Row],[epc_nombre]]="RENDIDA",1,0)</f>
        <v>1</v>
      </c>
      <c r="J1191">
        <f>+IF(Tabla__192.168.1.8_POSEIDONSQL_APPFVT_01_SQLFacturasRendidas[[#This Row],[usu_codigo]]="","",1)</f>
        <v>1</v>
      </c>
    </row>
    <row r="1192" spans="1:10" x14ac:dyDescent="0.25">
      <c r="A1192">
        <v>1</v>
      </c>
      <c r="B1192">
        <v>3</v>
      </c>
      <c r="C1192" t="s">
        <v>12</v>
      </c>
      <c r="D1192" t="s">
        <v>15</v>
      </c>
      <c r="E1192" t="s">
        <v>56</v>
      </c>
      <c r="F1192">
        <v>93542</v>
      </c>
      <c r="G1192">
        <f>+YEAR(Tabla__192.168.1.8_POSEIDONSQL_APPFVT_01_SQLFacturasRendidas[[#This Row],[f_facturacion]])</f>
        <v>2018</v>
      </c>
      <c r="H119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192">
        <f>+IF(Tabla__192.168.1.8_POSEIDONSQL_APPFVT_01_SQLFacturasRendidas[[#This Row],[epc_nombre]]="RENDIDA",1,0)</f>
        <v>1</v>
      </c>
      <c r="J1192">
        <f>+IF(Tabla__192.168.1.8_POSEIDONSQL_APPFVT_01_SQLFacturasRendidas[[#This Row],[usu_codigo]]="","",1)</f>
        <v>1</v>
      </c>
    </row>
    <row r="1193" spans="1:10" x14ac:dyDescent="0.25">
      <c r="A1193">
        <v>1</v>
      </c>
      <c r="B1193">
        <v>3</v>
      </c>
      <c r="C1193" t="s">
        <v>12</v>
      </c>
      <c r="D1193" t="s">
        <v>15</v>
      </c>
      <c r="E1193" t="s">
        <v>56</v>
      </c>
      <c r="F1193">
        <v>93543</v>
      </c>
      <c r="G1193">
        <f>+YEAR(Tabla__192.168.1.8_POSEIDONSQL_APPFVT_01_SQLFacturasRendidas[[#This Row],[f_facturacion]])</f>
        <v>2018</v>
      </c>
      <c r="H119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193">
        <f>+IF(Tabla__192.168.1.8_POSEIDONSQL_APPFVT_01_SQLFacturasRendidas[[#This Row],[epc_nombre]]="RENDIDA",1,0)</f>
        <v>1</v>
      </c>
      <c r="J1193">
        <f>+IF(Tabla__192.168.1.8_POSEIDONSQL_APPFVT_01_SQLFacturasRendidas[[#This Row],[usu_codigo]]="","",1)</f>
        <v>1</v>
      </c>
    </row>
    <row r="1194" spans="1:10" x14ac:dyDescent="0.25">
      <c r="A1194">
        <v>1</v>
      </c>
      <c r="B1194">
        <v>3</v>
      </c>
      <c r="C1194" t="s">
        <v>12</v>
      </c>
      <c r="D1194" t="s">
        <v>15</v>
      </c>
      <c r="E1194" t="s">
        <v>33</v>
      </c>
      <c r="F1194">
        <v>93578</v>
      </c>
      <c r="G1194">
        <f>+YEAR(Tabla__192.168.1.8_POSEIDONSQL_APPFVT_01_SQLFacturasRendidas[[#This Row],[f_facturacion]])</f>
        <v>2018</v>
      </c>
      <c r="H119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194">
        <f>+IF(Tabla__192.168.1.8_POSEIDONSQL_APPFVT_01_SQLFacturasRendidas[[#This Row],[epc_nombre]]="RENDIDA",1,0)</f>
        <v>1</v>
      </c>
      <c r="J1194">
        <f>+IF(Tabla__192.168.1.8_POSEIDONSQL_APPFVT_01_SQLFacturasRendidas[[#This Row],[usu_codigo]]="","",1)</f>
        <v>1</v>
      </c>
    </row>
    <row r="1195" spans="1:10" x14ac:dyDescent="0.25">
      <c r="A1195">
        <v>1</v>
      </c>
      <c r="B1195">
        <v>3</v>
      </c>
      <c r="C1195" t="s">
        <v>12</v>
      </c>
      <c r="D1195" t="s">
        <v>15</v>
      </c>
      <c r="E1195" t="s">
        <v>33</v>
      </c>
      <c r="F1195">
        <v>93579</v>
      </c>
      <c r="G1195">
        <f>+YEAR(Tabla__192.168.1.8_POSEIDONSQL_APPFVT_01_SQLFacturasRendidas[[#This Row],[f_facturacion]])</f>
        <v>2018</v>
      </c>
      <c r="H119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195">
        <f>+IF(Tabla__192.168.1.8_POSEIDONSQL_APPFVT_01_SQLFacturasRendidas[[#This Row],[epc_nombre]]="RENDIDA",1,0)</f>
        <v>1</v>
      </c>
      <c r="J1195">
        <f>+IF(Tabla__192.168.1.8_POSEIDONSQL_APPFVT_01_SQLFacturasRendidas[[#This Row],[usu_codigo]]="","",1)</f>
        <v>1</v>
      </c>
    </row>
    <row r="1196" spans="1:10" x14ac:dyDescent="0.25">
      <c r="A1196">
        <v>1</v>
      </c>
      <c r="B1196">
        <v>3</v>
      </c>
      <c r="C1196" t="s">
        <v>12</v>
      </c>
      <c r="D1196" t="s">
        <v>15</v>
      </c>
      <c r="E1196" t="s">
        <v>34</v>
      </c>
      <c r="F1196">
        <v>93598</v>
      </c>
      <c r="G1196">
        <f>+YEAR(Tabla__192.168.1.8_POSEIDONSQL_APPFVT_01_SQLFacturasRendidas[[#This Row],[f_facturacion]])</f>
        <v>2018</v>
      </c>
      <c r="H119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196">
        <f>+IF(Tabla__192.168.1.8_POSEIDONSQL_APPFVT_01_SQLFacturasRendidas[[#This Row],[epc_nombre]]="RENDIDA",1,0)</f>
        <v>1</v>
      </c>
      <c r="J1196">
        <f>+IF(Tabla__192.168.1.8_POSEIDONSQL_APPFVT_01_SQLFacturasRendidas[[#This Row],[usu_codigo]]="","",1)</f>
        <v>1</v>
      </c>
    </row>
    <row r="1197" spans="1:10" x14ac:dyDescent="0.25">
      <c r="A1197">
        <v>1</v>
      </c>
      <c r="B1197">
        <v>3</v>
      </c>
      <c r="C1197" t="s">
        <v>12</v>
      </c>
      <c r="D1197" t="s">
        <v>15</v>
      </c>
      <c r="E1197" t="s">
        <v>34</v>
      </c>
      <c r="F1197">
        <v>93627</v>
      </c>
      <c r="G1197">
        <f>+YEAR(Tabla__192.168.1.8_POSEIDONSQL_APPFVT_01_SQLFacturasRendidas[[#This Row],[f_facturacion]])</f>
        <v>2018</v>
      </c>
      <c r="H119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197">
        <f>+IF(Tabla__192.168.1.8_POSEIDONSQL_APPFVT_01_SQLFacturasRendidas[[#This Row],[epc_nombre]]="RENDIDA",1,0)</f>
        <v>1</v>
      </c>
      <c r="J1197">
        <f>+IF(Tabla__192.168.1.8_POSEIDONSQL_APPFVT_01_SQLFacturasRendidas[[#This Row],[usu_codigo]]="","",1)</f>
        <v>1</v>
      </c>
    </row>
    <row r="1198" spans="1:10" x14ac:dyDescent="0.25">
      <c r="A1198">
        <v>1</v>
      </c>
      <c r="B1198">
        <v>3</v>
      </c>
      <c r="C1198" t="s">
        <v>12</v>
      </c>
      <c r="D1198" t="s">
        <v>15</v>
      </c>
      <c r="E1198" t="s">
        <v>35</v>
      </c>
      <c r="F1198">
        <v>93646</v>
      </c>
      <c r="G1198">
        <f>+YEAR(Tabla__192.168.1.8_POSEIDONSQL_APPFVT_01_SQLFacturasRendidas[[#This Row],[f_facturacion]])</f>
        <v>2018</v>
      </c>
      <c r="H119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198">
        <f>+IF(Tabla__192.168.1.8_POSEIDONSQL_APPFVT_01_SQLFacturasRendidas[[#This Row],[epc_nombre]]="RENDIDA",1,0)</f>
        <v>1</v>
      </c>
      <c r="J1198">
        <f>+IF(Tabla__192.168.1.8_POSEIDONSQL_APPFVT_01_SQLFacturasRendidas[[#This Row],[usu_codigo]]="","",1)</f>
        <v>1</v>
      </c>
    </row>
    <row r="1199" spans="1:10" x14ac:dyDescent="0.25">
      <c r="A1199">
        <v>1</v>
      </c>
      <c r="B1199">
        <v>3</v>
      </c>
      <c r="C1199" t="s">
        <v>12</v>
      </c>
      <c r="D1199" t="s">
        <v>15</v>
      </c>
      <c r="E1199" t="s">
        <v>35</v>
      </c>
      <c r="F1199">
        <v>93670</v>
      </c>
      <c r="G1199">
        <f>+YEAR(Tabla__192.168.1.8_POSEIDONSQL_APPFVT_01_SQLFacturasRendidas[[#This Row],[f_facturacion]])</f>
        <v>2018</v>
      </c>
      <c r="H119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199">
        <f>+IF(Tabla__192.168.1.8_POSEIDONSQL_APPFVT_01_SQLFacturasRendidas[[#This Row],[epc_nombre]]="RENDIDA",1,0)</f>
        <v>1</v>
      </c>
      <c r="J1199">
        <f>+IF(Tabla__192.168.1.8_POSEIDONSQL_APPFVT_01_SQLFacturasRendidas[[#This Row],[usu_codigo]]="","",1)</f>
        <v>1</v>
      </c>
    </row>
    <row r="1200" spans="1:10" x14ac:dyDescent="0.25">
      <c r="A1200">
        <v>1</v>
      </c>
      <c r="B1200">
        <v>3</v>
      </c>
      <c r="C1200" t="s">
        <v>12</v>
      </c>
      <c r="D1200" t="s">
        <v>15</v>
      </c>
      <c r="E1200" t="s">
        <v>74</v>
      </c>
      <c r="F1200">
        <v>93702</v>
      </c>
      <c r="G1200">
        <f>+YEAR(Tabla__192.168.1.8_POSEIDONSQL_APPFVT_01_SQLFacturasRendidas[[#This Row],[f_facturacion]])</f>
        <v>2018</v>
      </c>
      <c r="H120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200">
        <f>+IF(Tabla__192.168.1.8_POSEIDONSQL_APPFVT_01_SQLFacturasRendidas[[#This Row],[epc_nombre]]="RENDIDA",1,0)</f>
        <v>1</v>
      </c>
      <c r="J1200">
        <f>+IF(Tabla__192.168.1.8_POSEIDONSQL_APPFVT_01_SQLFacturasRendidas[[#This Row],[usu_codigo]]="","",1)</f>
        <v>1</v>
      </c>
    </row>
    <row r="1201" spans="1:10" x14ac:dyDescent="0.25">
      <c r="A1201">
        <v>1</v>
      </c>
      <c r="B1201">
        <v>3</v>
      </c>
      <c r="C1201" t="s">
        <v>12</v>
      </c>
      <c r="D1201" t="s">
        <v>15</v>
      </c>
      <c r="E1201" t="s">
        <v>74</v>
      </c>
      <c r="F1201">
        <v>93703</v>
      </c>
      <c r="G1201">
        <f>+YEAR(Tabla__192.168.1.8_POSEIDONSQL_APPFVT_01_SQLFacturasRendidas[[#This Row],[f_facturacion]])</f>
        <v>2018</v>
      </c>
      <c r="H120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201">
        <f>+IF(Tabla__192.168.1.8_POSEIDONSQL_APPFVT_01_SQLFacturasRendidas[[#This Row],[epc_nombre]]="RENDIDA",1,0)</f>
        <v>1</v>
      </c>
      <c r="J1201">
        <f>+IF(Tabla__192.168.1.8_POSEIDONSQL_APPFVT_01_SQLFacturasRendidas[[#This Row],[usu_codigo]]="","",1)</f>
        <v>1</v>
      </c>
    </row>
    <row r="1202" spans="1:10" x14ac:dyDescent="0.25">
      <c r="A1202">
        <v>1</v>
      </c>
      <c r="B1202">
        <v>3</v>
      </c>
      <c r="C1202" t="s">
        <v>12</v>
      </c>
      <c r="D1202" t="s">
        <v>15</v>
      </c>
      <c r="E1202" t="s">
        <v>58</v>
      </c>
      <c r="F1202">
        <v>93749</v>
      </c>
      <c r="G1202">
        <f>+YEAR(Tabla__192.168.1.8_POSEIDONSQL_APPFVT_01_SQLFacturasRendidas[[#This Row],[f_facturacion]])</f>
        <v>2018</v>
      </c>
      <c r="H120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202">
        <f>+IF(Tabla__192.168.1.8_POSEIDONSQL_APPFVT_01_SQLFacturasRendidas[[#This Row],[epc_nombre]]="RENDIDA",1,0)</f>
        <v>1</v>
      </c>
      <c r="J1202">
        <f>+IF(Tabla__192.168.1.8_POSEIDONSQL_APPFVT_01_SQLFacturasRendidas[[#This Row],[usu_codigo]]="","",1)</f>
        <v>1</v>
      </c>
    </row>
    <row r="1203" spans="1:10" x14ac:dyDescent="0.25">
      <c r="A1203">
        <v>1</v>
      </c>
      <c r="B1203">
        <v>3</v>
      </c>
      <c r="C1203" t="s">
        <v>12</v>
      </c>
      <c r="D1203" t="s">
        <v>15</v>
      </c>
      <c r="E1203" t="s">
        <v>58</v>
      </c>
      <c r="F1203">
        <v>93750</v>
      </c>
      <c r="G1203">
        <f>+YEAR(Tabla__192.168.1.8_POSEIDONSQL_APPFVT_01_SQLFacturasRendidas[[#This Row],[f_facturacion]])</f>
        <v>2018</v>
      </c>
      <c r="H120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203">
        <f>+IF(Tabla__192.168.1.8_POSEIDONSQL_APPFVT_01_SQLFacturasRendidas[[#This Row],[epc_nombre]]="RENDIDA",1,0)</f>
        <v>1</v>
      </c>
      <c r="J1203">
        <f>+IF(Tabla__192.168.1.8_POSEIDONSQL_APPFVT_01_SQLFacturasRendidas[[#This Row],[usu_codigo]]="","",1)</f>
        <v>1</v>
      </c>
    </row>
    <row r="1204" spans="1:10" x14ac:dyDescent="0.25">
      <c r="A1204">
        <v>1</v>
      </c>
      <c r="B1204">
        <v>3</v>
      </c>
      <c r="C1204" t="s">
        <v>12</v>
      </c>
      <c r="D1204" t="s">
        <v>15</v>
      </c>
      <c r="E1204" t="s">
        <v>60</v>
      </c>
      <c r="F1204">
        <v>93800</v>
      </c>
      <c r="G1204">
        <f>+YEAR(Tabla__192.168.1.8_POSEIDONSQL_APPFVT_01_SQLFacturasRendidas[[#This Row],[f_facturacion]])</f>
        <v>2018</v>
      </c>
      <c r="H120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204">
        <f>+IF(Tabla__192.168.1.8_POSEIDONSQL_APPFVT_01_SQLFacturasRendidas[[#This Row],[epc_nombre]]="RENDIDA",1,0)</f>
        <v>1</v>
      </c>
      <c r="J1204">
        <f>+IF(Tabla__192.168.1.8_POSEIDONSQL_APPFVT_01_SQLFacturasRendidas[[#This Row],[usu_codigo]]="","",1)</f>
        <v>1</v>
      </c>
    </row>
    <row r="1205" spans="1:10" x14ac:dyDescent="0.25">
      <c r="A1205">
        <v>1</v>
      </c>
      <c r="B1205">
        <v>3</v>
      </c>
      <c r="C1205" t="s">
        <v>12</v>
      </c>
      <c r="D1205" t="s">
        <v>15</v>
      </c>
      <c r="E1205" t="s">
        <v>60</v>
      </c>
      <c r="F1205">
        <v>93801</v>
      </c>
      <c r="G1205">
        <f>+YEAR(Tabla__192.168.1.8_POSEIDONSQL_APPFVT_01_SQLFacturasRendidas[[#This Row],[f_facturacion]])</f>
        <v>2018</v>
      </c>
      <c r="H120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205">
        <f>+IF(Tabla__192.168.1.8_POSEIDONSQL_APPFVT_01_SQLFacturasRendidas[[#This Row],[epc_nombre]]="RENDIDA",1,0)</f>
        <v>1</v>
      </c>
      <c r="J1205">
        <f>+IF(Tabla__192.168.1.8_POSEIDONSQL_APPFVT_01_SQLFacturasRendidas[[#This Row],[usu_codigo]]="","",1)</f>
        <v>1</v>
      </c>
    </row>
    <row r="1206" spans="1:10" x14ac:dyDescent="0.25">
      <c r="A1206">
        <v>1</v>
      </c>
      <c r="B1206">
        <v>3</v>
      </c>
      <c r="C1206" t="s">
        <v>12</v>
      </c>
      <c r="D1206" t="s">
        <v>15</v>
      </c>
      <c r="E1206" t="s">
        <v>60</v>
      </c>
      <c r="F1206">
        <v>93802</v>
      </c>
      <c r="G1206">
        <f>+YEAR(Tabla__192.168.1.8_POSEIDONSQL_APPFVT_01_SQLFacturasRendidas[[#This Row],[f_facturacion]])</f>
        <v>2018</v>
      </c>
      <c r="H120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206">
        <f>+IF(Tabla__192.168.1.8_POSEIDONSQL_APPFVT_01_SQLFacturasRendidas[[#This Row],[epc_nombre]]="RENDIDA",1,0)</f>
        <v>1</v>
      </c>
      <c r="J1206">
        <f>+IF(Tabla__192.168.1.8_POSEIDONSQL_APPFVT_01_SQLFacturasRendidas[[#This Row],[usu_codigo]]="","",1)</f>
        <v>1</v>
      </c>
    </row>
    <row r="1207" spans="1:10" x14ac:dyDescent="0.25">
      <c r="A1207">
        <v>1</v>
      </c>
      <c r="B1207">
        <v>3</v>
      </c>
      <c r="C1207" t="s">
        <v>12</v>
      </c>
      <c r="D1207" t="s">
        <v>15</v>
      </c>
      <c r="E1207" t="s">
        <v>60</v>
      </c>
      <c r="F1207">
        <v>93805</v>
      </c>
      <c r="G1207">
        <f>+YEAR(Tabla__192.168.1.8_POSEIDONSQL_APPFVT_01_SQLFacturasRendidas[[#This Row],[f_facturacion]])</f>
        <v>2018</v>
      </c>
      <c r="H120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207">
        <f>+IF(Tabla__192.168.1.8_POSEIDONSQL_APPFVT_01_SQLFacturasRendidas[[#This Row],[epc_nombre]]="RENDIDA",1,0)</f>
        <v>1</v>
      </c>
      <c r="J1207">
        <f>+IF(Tabla__192.168.1.8_POSEIDONSQL_APPFVT_01_SQLFacturasRendidas[[#This Row],[usu_codigo]]="","",1)</f>
        <v>1</v>
      </c>
    </row>
    <row r="1208" spans="1:10" x14ac:dyDescent="0.25">
      <c r="A1208">
        <v>1</v>
      </c>
      <c r="B1208">
        <v>3</v>
      </c>
      <c r="C1208" t="s">
        <v>12</v>
      </c>
      <c r="D1208" t="s">
        <v>15</v>
      </c>
      <c r="E1208" t="s">
        <v>60</v>
      </c>
      <c r="F1208">
        <v>93806</v>
      </c>
      <c r="G1208">
        <f>+YEAR(Tabla__192.168.1.8_POSEIDONSQL_APPFVT_01_SQLFacturasRendidas[[#This Row],[f_facturacion]])</f>
        <v>2018</v>
      </c>
      <c r="H120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208">
        <f>+IF(Tabla__192.168.1.8_POSEIDONSQL_APPFVT_01_SQLFacturasRendidas[[#This Row],[epc_nombre]]="RENDIDA",1,0)</f>
        <v>1</v>
      </c>
      <c r="J1208">
        <f>+IF(Tabla__192.168.1.8_POSEIDONSQL_APPFVT_01_SQLFacturasRendidas[[#This Row],[usu_codigo]]="","",1)</f>
        <v>1</v>
      </c>
    </row>
    <row r="1209" spans="1:10" x14ac:dyDescent="0.25">
      <c r="A1209">
        <v>1</v>
      </c>
      <c r="B1209">
        <v>3</v>
      </c>
      <c r="C1209" t="s">
        <v>12</v>
      </c>
      <c r="D1209" t="s">
        <v>15</v>
      </c>
      <c r="E1209" t="s">
        <v>61</v>
      </c>
      <c r="F1209">
        <v>93857</v>
      </c>
      <c r="G1209">
        <f>+YEAR(Tabla__192.168.1.8_POSEIDONSQL_APPFVT_01_SQLFacturasRendidas[[#This Row],[f_facturacion]])</f>
        <v>2018</v>
      </c>
      <c r="H120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209">
        <f>+IF(Tabla__192.168.1.8_POSEIDONSQL_APPFVT_01_SQLFacturasRendidas[[#This Row],[epc_nombre]]="RENDIDA",1,0)</f>
        <v>1</v>
      </c>
      <c r="J1209">
        <f>+IF(Tabla__192.168.1.8_POSEIDONSQL_APPFVT_01_SQLFacturasRendidas[[#This Row],[usu_codigo]]="","",1)</f>
        <v>1</v>
      </c>
    </row>
    <row r="1210" spans="1:10" x14ac:dyDescent="0.25">
      <c r="A1210">
        <v>1</v>
      </c>
      <c r="B1210">
        <v>3</v>
      </c>
      <c r="C1210" t="s">
        <v>12</v>
      </c>
      <c r="D1210" t="s">
        <v>15</v>
      </c>
      <c r="E1210" t="s">
        <v>62</v>
      </c>
      <c r="F1210">
        <v>93922</v>
      </c>
      <c r="G1210">
        <f>+YEAR(Tabla__192.168.1.8_POSEIDONSQL_APPFVT_01_SQLFacturasRendidas[[#This Row],[f_facturacion]])</f>
        <v>2018</v>
      </c>
      <c r="H121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210">
        <f>+IF(Tabla__192.168.1.8_POSEIDONSQL_APPFVT_01_SQLFacturasRendidas[[#This Row],[epc_nombre]]="RENDIDA",1,0)</f>
        <v>1</v>
      </c>
      <c r="J1210">
        <f>+IF(Tabla__192.168.1.8_POSEIDONSQL_APPFVT_01_SQLFacturasRendidas[[#This Row],[usu_codigo]]="","",1)</f>
        <v>1</v>
      </c>
    </row>
    <row r="1211" spans="1:10" x14ac:dyDescent="0.25">
      <c r="A1211">
        <v>1</v>
      </c>
      <c r="B1211">
        <v>3</v>
      </c>
      <c r="C1211" t="s">
        <v>12</v>
      </c>
      <c r="D1211" t="s">
        <v>15</v>
      </c>
      <c r="E1211" t="s">
        <v>75</v>
      </c>
      <c r="F1211">
        <v>93931</v>
      </c>
      <c r="G1211">
        <f>+YEAR(Tabla__192.168.1.8_POSEIDONSQL_APPFVT_01_SQLFacturasRendidas[[#This Row],[f_facturacion]])</f>
        <v>2018</v>
      </c>
      <c r="H121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211">
        <f>+IF(Tabla__192.168.1.8_POSEIDONSQL_APPFVT_01_SQLFacturasRendidas[[#This Row],[epc_nombre]]="RENDIDA",1,0)</f>
        <v>1</v>
      </c>
      <c r="J1211">
        <f>+IF(Tabla__192.168.1.8_POSEIDONSQL_APPFVT_01_SQLFacturasRendidas[[#This Row],[usu_codigo]]="","",1)</f>
        <v>1</v>
      </c>
    </row>
    <row r="1212" spans="1:10" x14ac:dyDescent="0.25">
      <c r="A1212">
        <v>1</v>
      </c>
      <c r="B1212">
        <v>3</v>
      </c>
      <c r="C1212" t="s">
        <v>12</v>
      </c>
      <c r="D1212" t="s">
        <v>15</v>
      </c>
      <c r="E1212" t="s">
        <v>75</v>
      </c>
      <c r="F1212">
        <v>93932</v>
      </c>
      <c r="G1212">
        <f>+YEAR(Tabla__192.168.1.8_POSEIDONSQL_APPFVT_01_SQLFacturasRendidas[[#This Row],[f_facturacion]])</f>
        <v>2018</v>
      </c>
      <c r="H121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MAYO</v>
      </c>
      <c r="I1212">
        <f>+IF(Tabla__192.168.1.8_POSEIDONSQL_APPFVT_01_SQLFacturasRendidas[[#This Row],[epc_nombre]]="RENDIDA",1,0)</f>
        <v>1</v>
      </c>
      <c r="J1212">
        <f>+IF(Tabla__192.168.1.8_POSEIDONSQL_APPFVT_01_SQLFacturasRendidas[[#This Row],[usu_codigo]]="","",1)</f>
        <v>1</v>
      </c>
    </row>
    <row r="1213" spans="1:10" x14ac:dyDescent="0.25">
      <c r="A1213">
        <v>1</v>
      </c>
      <c r="B1213">
        <v>3</v>
      </c>
      <c r="C1213" t="s">
        <v>81</v>
      </c>
      <c r="D1213" t="s">
        <v>15</v>
      </c>
      <c r="E1213" t="s">
        <v>40</v>
      </c>
      <c r="F1213">
        <v>90616</v>
      </c>
      <c r="G1213">
        <f>+YEAR(Tabla__192.168.1.8_POSEIDONSQL_APPFVT_01_SQLFacturasRendidas[[#This Row],[f_facturacion]])</f>
        <v>2018</v>
      </c>
      <c r="H121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13">
        <f>+IF(Tabla__192.168.1.8_POSEIDONSQL_APPFVT_01_SQLFacturasRendidas[[#This Row],[epc_nombre]]="RENDIDA",1,0)</f>
        <v>1</v>
      </c>
      <c r="J1213">
        <f>+IF(Tabla__192.168.1.8_POSEIDONSQL_APPFVT_01_SQLFacturasRendidas[[#This Row],[usu_codigo]]="","",1)</f>
        <v>1</v>
      </c>
    </row>
    <row r="1214" spans="1:10" x14ac:dyDescent="0.25">
      <c r="A1214">
        <v>1</v>
      </c>
      <c r="B1214">
        <v>3</v>
      </c>
      <c r="C1214" t="s">
        <v>81</v>
      </c>
      <c r="D1214" t="s">
        <v>15</v>
      </c>
      <c r="E1214" t="s">
        <v>40</v>
      </c>
      <c r="F1214">
        <v>90617</v>
      </c>
      <c r="G1214">
        <f>+YEAR(Tabla__192.168.1.8_POSEIDONSQL_APPFVT_01_SQLFacturasRendidas[[#This Row],[f_facturacion]])</f>
        <v>2018</v>
      </c>
      <c r="H121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14">
        <f>+IF(Tabla__192.168.1.8_POSEIDONSQL_APPFVT_01_SQLFacturasRendidas[[#This Row],[epc_nombre]]="RENDIDA",1,0)</f>
        <v>1</v>
      </c>
      <c r="J1214">
        <f>+IF(Tabla__192.168.1.8_POSEIDONSQL_APPFVT_01_SQLFacturasRendidas[[#This Row],[usu_codigo]]="","",1)</f>
        <v>1</v>
      </c>
    </row>
    <row r="1215" spans="1:10" x14ac:dyDescent="0.25">
      <c r="A1215">
        <v>1</v>
      </c>
      <c r="B1215">
        <v>3</v>
      </c>
      <c r="C1215" t="s">
        <v>81</v>
      </c>
      <c r="D1215" t="s">
        <v>15</v>
      </c>
      <c r="E1215" t="s">
        <v>40</v>
      </c>
      <c r="F1215">
        <v>90618</v>
      </c>
      <c r="G1215">
        <f>+YEAR(Tabla__192.168.1.8_POSEIDONSQL_APPFVT_01_SQLFacturasRendidas[[#This Row],[f_facturacion]])</f>
        <v>2018</v>
      </c>
      <c r="H121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15">
        <f>+IF(Tabla__192.168.1.8_POSEIDONSQL_APPFVT_01_SQLFacturasRendidas[[#This Row],[epc_nombre]]="RENDIDA",1,0)</f>
        <v>1</v>
      </c>
      <c r="J1215">
        <f>+IF(Tabla__192.168.1.8_POSEIDONSQL_APPFVT_01_SQLFacturasRendidas[[#This Row],[usu_codigo]]="","",1)</f>
        <v>1</v>
      </c>
    </row>
    <row r="1216" spans="1:10" x14ac:dyDescent="0.25">
      <c r="A1216">
        <v>1</v>
      </c>
      <c r="B1216">
        <v>3</v>
      </c>
      <c r="C1216" t="s">
        <v>81</v>
      </c>
      <c r="D1216" t="s">
        <v>15</v>
      </c>
      <c r="E1216" t="s">
        <v>40</v>
      </c>
      <c r="F1216">
        <v>90619</v>
      </c>
      <c r="G1216">
        <f>+YEAR(Tabla__192.168.1.8_POSEIDONSQL_APPFVT_01_SQLFacturasRendidas[[#This Row],[f_facturacion]])</f>
        <v>2018</v>
      </c>
      <c r="H121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16">
        <f>+IF(Tabla__192.168.1.8_POSEIDONSQL_APPFVT_01_SQLFacturasRendidas[[#This Row],[epc_nombre]]="RENDIDA",1,0)</f>
        <v>1</v>
      </c>
      <c r="J1216">
        <f>+IF(Tabla__192.168.1.8_POSEIDONSQL_APPFVT_01_SQLFacturasRendidas[[#This Row],[usu_codigo]]="","",1)</f>
        <v>1</v>
      </c>
    </row>
    <row r="1217" spans="1:10" x14ac:dyDescent="0.25">
      <c r="A1217">
        <v>1</v>
      </c>
      <c r="B1217">
        <v>3</v>
      </c>
      <c r="C1217" t="s">
        <v>81</v>
      </c>
      <c r="D1217" t="s">
        <v>15</v>
      </c>
      <c r="E1217" t="s">
        <v>40</v>
      </c>
      <c r="F1217">
        <v>90620</v>
      </c>
      <c r="G1217">
        <f>+YEAR(Tabla__192.168.1.8_POSEIDONSQL_APPFVT_01_SQLFacturasRendidas[[#This Row],[f_facturacion]])</f>
        <v>2018</v>
      </c>
      <c r="H121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17">
        <f>+IF(Tabla__192.168.1.8_POSEIDONSQL_APPFVT_01_SQLFacturasRendidas[[#This Row],[epc_nombre]]="RENDIDA",1,0)</f>
        <v>1</v>
      </c>
      <c r="J1217">
        <f>+IF(Tabla__192.168.1.8_POSEIDONSQL_APPFVT_01_SQLFacturasRendidas[[#This Row],[usu_codigo]]="","",1)</f>
        <v>1</v>
      </c>
    </row>
    <row r="1218" spans="1:10" x14ac:dyDescent="0.25">
      <c r="A1218">
        <v>1</v>
      </c>
      <c r="B1218">
        <v>3</v>
      </c>
      <c r="C1218" t="s">
        <v>81</v>
      </c>
      <c r="D1218" t="s">
        <v>15</v>
      </c>
      <c r="E1218" t="s">
        <v>40</v>
      </c>
      <c r="F1218">
        <v>90621</v>
      </c>
      <c r="G1218">
        <f>+YEAR(Tabla__192.168.1.8_POSEIDONSQL_APPFVT_01_SQLFacturasRendidas[[#This Row],[f_facturacion]])</f>
        <v>2018</v>
      </c>
      <c r="H121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18">
        <f>+IF(Tabla__192.168.1.8_POSEIDONSQL_APPFVT_01_SQLFacturasRendidas[[#This Row],[epc_nombre]]="RENDIDA",1,0)</f>
        <v>1</v>
      </c>
      <c r="J1218">
        <f>+IF(Tabla__192.168.1.8_POSEIDONSQL_APPFVT_01_SQLFacturasRendidas[[#This Row],[usu_codigo]]="","",1)</f>
        <v>1</v>
      </c>
    </row>
    <row r="1219" spans="1:10" x14ac:dyDescent="0.25">
      <c r="A1219">
        <v>1</v>
      </c>
      <c r="B1219">
        <v>3</v>
      </c>
      <c r="C1219" t="s">
        <v>81</v>
      </c>
      <c r="D1219" t="s">
        <v>15</v>
      </c>
      <c r="E1219" t="s">
        <v>40</v>
      </c>
      <c r="F1219">
        <v>90622</v>
      </c>
      <c r="G1219">
        <f>+YEAR(Tabla__192.168.1.8_POSEIDONSQL_APPFVT_01_SQLFacturasRendidas[[#This Row],[f_facturacion]])</f>
        <v>2018</v>
      </c>
      <c r="H121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19">
        <f>+IF(Tabla__192.168.1.8_POSEIDONSQL_APPFVT_01_SQLFacturasRendidas[[#This Row],[epc_nombre]]="RENDIDA",1,0)</f>
        <v>1</v>
      </c>
      <c r="J1219">
        <f>+IF(Tabla__192.168.1.8_POSEIDONSQL_APPFVT_01_SQLFacturasRendidas[[#This Row],[usu_codigo]]="","",1)</f>
        <v>1</v>
      </c>
    </row>
    <row r="1220" spans="1:10" x14ac:dyDescent="0.25">
      <c r="A1220">
        <v>1</v>
      </c>
      <c r="B1220">
        <v>3</v>
      </c>
      <c r="C1220" t="s">
        <v>81</v>
      </c>
      <c r="D1220" t="s">
        <v>15</v>
      </c>
      <c r="E1220" t="s">
        <v>40</v>
      </c>
      <c r="F1220">
        <v>90623</v>
      </c>
      <c r="G1220">
        <f>+YEAR(Tabla__192.168.1.8_POSEIDONSQL_APPFVT_01_SQLFacturasRendidas[[#This Row],[f_facturacion]])</f>
        <v>2018</v>
      </c>
      <c r="H122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20">
        <f>+IF(Tabla__192.168.1.8_POSEIDONSQL_APPFVT_01_SQLFacturasRendidas[[#This Row],[epc_nombre]]="RENDIDA",1,0)</f>
        <v>1</v>
      </c>
      <c r="J1220">
        <f>+IF(Tabla__192.168.1.8_POSEIDONSQL_APPFVT_01_SQLFacturasRendidas[[#This Row],[usu_codigo]]="","",1)</f>
        <v>1</v>
      </c>
    </row>
    <row r="1221" spans="1:10" x14ac:dyDescent="0.25">
      <c r="A1221">
        <v>1</v>
      </c>
      <c r="B1221">
        <v>3</v>
      </c>
      <c r="C1221" t="s">
        <v>81</v>
      </c>
      <c r="D1221" t="s">
        <v>15</v>
      </c>
      <c r="E1221" t="s">
        <v>40</v>
      </c>
      <c r="F1221">
        <v>90624</v>
      </c>
      <c r="G1221">
        <f>+YEAR(Tabla__192.168.1.8_POSEIDONSQL_APPFVT_01_SQLFacturasRendidas[[#This Row],[f_facturacion]])</f>
        <v>2018</v>
      </c>
      <c r="H122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21">
        <f>+IF(Tabla__192.168.1.8_POSEIDONSQL_APPFVT_01_SQLFacturasRendidas[[#This Row],[epc_nombre]]="RENDIDA",1,0)</f>
        <v>1</v>
      </c>
      <c r="J1221">
        <f>+IF(Tabla__192.168.1.8_POSEIDONSQL_APPFVT_01_SQLFacturasRendidas[[#This Row],[usu_codigo]]="","",1)</f>
        <v>1</v>
      </c>
    </row>
    <row r="1222" spans="1:10" x14ac:dyDescent="0.25">
      <c r="A1222">
        <v>1</v>
      </c>
      <c r="B1222">
        <v>3</v>
      </c>
      <c r="C1222" t="s">
        <v>81</v>
      </c>
      <c r="D1222" t="s">
        <v>15</v>
      </c>
      <c r="E1222" t="s">
        <v>40</v>
      </c>
      <c r="F1222">
        <v>90625</v>
      </c>
      <c r="G1222">
        <f>+YEAR(Tabla__192.168.1.8_POSEIDONSQL_APPFVT_01_SQLFacturasRendidas[[#This Row],[f_facturacion]])</f>
        <v>2018</v>
      </c>
      <c r="H122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22">
        <f>+IF(Tabla__192.168.1.8_POSEIDONSQL_APPFVT_01_SQLFacturasRendidas[[#This Row],[epc_nombre]]="RENDIDA",1,0)</f>
        <v>1</v>
      </c>
      <c r="J1222">
        <f>+IF(Tabla__192.168.1.8_POSEIDONSQL_APPFVT_01_SQLFacturasRendidas[[#This Row],[usu_codigo]]="","",1)</f>
        <v>1</v>
      </c>
    </row>
    <row r="1223" spans="1:10" x14ac:dyDescent="0.25">
      <c r="A1223">
        <v>1</v>
      </c>
      <c r="B1223">
        <v>3</v>
      </c>
      <c r="C1223" t="s">
        <v>81</v>
      </c>
      <c r="D1223" t="s">
        <v>15</v>
      </c>
      <c r="E1223" t="s">
        <v>40</v>
      </c>
      <c r="F1223">
        <v>90626</v>
      </c>
      <c r="G1223">
        <f>+YEAR(Tabla__192.168.1.8_POSEIDONSQL_APPFVT_01_SQLFacturasRendidas[[#This Row],[f_facturacion]])</f>
        <v>2018</v>
      </c>
      <c r="H122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23">
        <f>+IF(Tabla__192.168.1.8_POSEIDONSQL_APPFVT_01_SQLFacturasRendidas[[#This Row],[epc_nombre]]="RENDIDA",1,0)</f>
        <v>1</v>
      </c>
      <c r="J1223">
        <f>+IF(Tabla__192.168.1.8_POSEIDONSQL_APPFVT_01_SQLFacturasRendidas[[#This Row],[usu_codigo]]="","",1)</f>
        <v>1</v>
      </c>
    </row>
    <row r="1224" spans="1:10" x14ac:dyDescent="0.25">
      <c r="A1224">
        <v>1</v>
      </c>
      <c r="B1224">
        <v>3</v>
      </c>
      <c r="C1224" t="s">
        <v>81</v>
      </c>
      <c r="D1224" t="s">
        <v>15</v>
      </c>
      <c r="E1224" t="s">
        <v>40</v>
      </c>
      <c r="F1224">
        <v>90627</v>
      </c>
      <c r="G1224">
        <f>+YEAR(Tabla__192.168.1.8_POSEIDONSQL_APPFVT_01_SQLFacturasRendidas[[#This Row],[f_facturacion]])</f>
        <v>2018</v>
      </c>
      <c r="H122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24">
        <f>+IF(Tabla__192.168.1.8_POSEIDONSQL_APPFVT_01_SQLFacturasRendidas[[#This Row],[epc_nombre]]="RENDIDA",1,0)</f>
        <v>1</v>
      </c>
      <c r="J1224">
        <f>+IF(Tabla__192.168.1.8_POSEIDONSQL_APPFVT_01_SQLFacturasRendidas[[#This Row],[usu_codigo]]="","",1)</f>
        <v>1</v>
      </c>
    </row>
    <row r="1225" spans="1:10" x14ac:dyDescent="0.25">
      <c r="A1225">
        <v>1</v>
      </c>
      <c r="B1225">
        <v>3</v>
      </c>
      <c r="C1225" t="s">
        <v>81</v>
      </c>
      <c r="D1225" t="s">
        <v>15</v>
      </c>
      <c r="E1225" t="s">
        <v>40</v>
      </c>
      <c r="F1225">
        <v>90628</v>
      </c>
      <c r="G1225">
        <f>+YEAR(Tabla__192.168.1.8_POSEIDONSQL_APPFVT_01_SQLFacturasRendidas[[#This Row],[f_facturacion]])</f>
        <v>2018</v>
      </c>
      <c r="H122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25">
        <f>+IF(Tabla__192.168.1.8_POSEIDONSQL_APPFVT_01_SQLFacturasRendidas[[#This Row],[epc_nombre]]="RENDIDA",1,0)</f>
        <v>1</v>
      </c>
      <c r="J1225">
        <f>+IF(Tabla__192.168.1.8_POSEIDONSQL_APPFVT_01_SQLFacturasRendidas[[#This Row],[usu_codigo]]="","",1)</f>
        <v>1</v>
      </c>
    </row>
    <row r="1226" spans="1:10" x14ac:dyDescent="0.25">
      <c r="A1226">
        <v>1</v>
      </c>
      <c r="B1226">
        <v>3</v>
      </c>
      <c r="C1226" t="s">
        <v>81</v>
      </c>
      <c r="D1226" t="s">
        <v>15</v>
      </c>
      <c r="E1226" t="s">
        <v>41</v>
      </c>
      <c r="F1226">
        <v>90772</v>
      </c>
      <c r="G1226">
        <f>+YEAR(Tabla__192.168.1.8_POSEIDONSQL_APPFVT_01_SQLFacturasRendidas[[#This Row],[f_facturacion]])</f>
        <v>2018</v>
      </c>
      <c r="H122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26">
        <f>+IF(Tabla__192.168.1.8_POSEIDONSQL_APPFVT_01_SQLFacturasRendidas[[#This Row],[epc_nombre]]="RENDIDA",1,0)</f>
        <v>1</v>
      </c>
      <c r="J1226">
        <f>+IF(Tabla__192.168.1.8_POSEIDONSQL_APPFVT_01_SQLFacturasRendidas[[#This Row],[usu_codigo]]="","",1)</f>
        <v>1</v>
      </c>
    </row>
    <row r="1227" spans="1:10" x14ac:dyDescent="0.25">
      <c r="A1227">
        <v>1</v>
      </c>
      <c r="B1227">
        <v>3</v>
      </c>
      <c r="C1227" t="s">
        <v>81</v>
      </c>
      <c r="D1227" t="s">
        <v>15</v>
      </c>
      <c r="E1227" t="s">
        <v>41</v>
      </c>
      <c r="F1227">
        <v>90773</v>
      </c>
      <c r="G1227">
        <f>+YEAR(Tabla__192.168.1.8_POSEIDONSQL_APPFVT_01_SQLFacturasRendidas[[#This Row],[f_facturacion]])</f>
        <v>2018</v>
      </c>
      <c r="H122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27">
        <f>+IF(Tabla__192.168.1.8_POSEIDONSQL_APPFVT_01_SQLFacturasRendidas[[#This Row],[epc_nombre]]="RENDIDA",1,0)</f>
        <v>1</v>
      </c>
      <c r="J1227">
        <f>+IF(Tabla__192.168.1.8_POSEIDONSQL_APPFVT_01_SQLFacturasRendidas[[#This Row],[usu_codigo]]="","",1)</f>
        <v>1</v>
      </c>
    </row>
    <row r="1228" spans="1:10" x14ac:dyDescent="0.25">
      <c r="A1228">
        <v>1</v>
      </c>
      <c r="B1228">
        <v>3</v>
      </c>
      <c r="C1228" t="s">
        <v>81</v>
      </c>
      <c r="D1228" t="s">
        <v>15</v>
      </c>
      <c r="E1228" t="s">
        <v>41</v>
      </c>
      <c r="F1228">
        <v>90774</v>
      </c>
      <c r="G1228">
        <f>+YEAR(Tabla__192.168.1.8_POSEIDONSQL_APPFVT_01_SQLFacturasRendidas[[#This Row],[f_facturacion]])</f>
        <v>2018</v>
      </c>
      <c r="H122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28">
        <f>+IF(Tabla__192.168.1.8_POSEIDONSQL_APPFVT_01_SQLFacturasRendidas[[#This Row],[epc_nombre]]="RENDIDA",1,0)</f>
        <v>1</v>
      </c>
      <c r="J1228">
        <f>+IF(Tabla__192.168.1.8_POSEIDONSQL_APPFVT_01_SQLFacturasRendidas[[#This Row],[usu_codigo]]="","",1)</f>
        <v>1</v>
      </c>
    </row>
    <row r="1229" spans="1:10" x14ac:dyDescent="0.25">
      <c r="A1229">
        <v>1</v>
      </c>
      <c r="B1229">
        <v>3</v>
      </c>
      <c r="C1229" t="s">
        <v>81</v>
      </c>
      <c r="D1229" t="s">
        <v>15</v>
      </c>
      <c r="E1229" t="s">
        <v>41</v>
      </c>
      <c r="F1229">
        <v>90775</v>
      </c>
      <c r="G1229">
        <f>+YEAR(Tabla__192.168.1.8_POSEIDONSQL_APPFVT_01_SQLFacturasRendidas[[#This Row],[f_facturacion]])</f>
        <v>2018</v>
      </c>
      <c r="H122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29">
        <f>+IF(Tabla__192.168.1.8_POSEIDONSQL_APPFVT_01_SQLFacturasRendidas[[#This Row],[epc_nombre]]="RENDIDA",1,0)</f>
        <v>1</v>
      </c>
      <c r="J1229">
        <f>+IF(Tabla__192.168.1.8_POSEIDONSQL_APPFVT_01_SQLFacturasRendidas[[#This Row],[usu_codigo]]="","",1)</f>
        <v>1</v>
      </c>
    </row>
    <row r="1230" spans="1:10" x14ac:dyDescent="0.25">
      <c r="A1230">
        <v>1</v>
      </c>
      <c r="B1230">
        <v>3</v>
      </c>
      <c r="C1230" t="s">
        <v>81</v>
      </c>
      <c r="D1230" t="s">
        <v>15</v>
      </c>
      <c r="E1230" t="s">
        <v>41</v>
      </c>
      <c r="F1230">
        <v>90776</v>
      </c>
      <c r="G1230">
        <f>+YEAR(Tabla__192.168.1.8_POSEIDONSQL_APPFVT_01_SQLFacturasRendidas[[#This Row],[f_facturacion]])</f>
        <v>2018</v>
      </c>
      <c r="H123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30">
        <f>+IF(Tabla__192.168.1.8_POSEIDONSQL_APPFVT_01_SQLFacturasRendidas[[#This Row],[epc_nombre]]="RENDIDA",1,0)</f>
        <v>1</v>
      </c>
      <c r="J1230">
        <f>+IF(Tabla__192.168.1.8_POSEIDONSQL_APPFVT_01_SQLFacturasRendidas[[#This Row],[usu_codigo]]="","",1)</f>
        <v>1</v>
      </c>
    </row>
    <row r="1231" spans="1:10" x14ac:dyDescent="0.25">
      <c r="A1231">
        <v>1</v>
      </c>
      <c r="B1231">
        <v>3</v>
      </c>
      <c r="C1231" t="s">
        <v>81</v>
      </c>
      <c r="D1231" t="s">
        <v>15</v>
      </c>
      <c r="E1231" t="s">
        <v>41</v>
      </c>
      <c r="F1231">
        <v>90777</v>
      </c>
      <c r="G1231">
        <f>+YEAR(Tabla__192.168.1.8_POSEIDONSQL_APPFVT_01_SQLFacturasRendidas[[#This Row],[f_facturacion]])</f>
        <v>2018</v>
      </c>
      <c r="H123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31">
        <f>+IF(Tabla__192.168.1.8_POSEIDONSQL_APPFVT_01_SQLFacturasRendidas[[#This Row],[epc_nombre]]="RENDIDA",1,0)</f>
        <v>1</v>
      </c>
      <c r="J1231">
        <f>+IF(Tabla__192.168.1.8_POSEIDONSQL_APPFVT_01_SQLFacturasRendidas[[#This Row],[usu_codigo]]="","",1)</f>
        <v>1</v>
      </c>
    </row>
    <row r="1232" spans="1:10" x14ac:dyDescent="0.25">
      <c r="A1232">
        <v>1</v>
      </c>
      <c r="B1232">
        <v>3</v>
      </c>
      <c r="C1232" t="s">
        <v>81</v>
      </c>
      <c r="D1232" t="s">
        <v>15</v>
      </c>
      <c r="E1232" t="s">
        <v>41</v>
      </c>
      <c r="F1232">
        <v>90778</v>
      </c>
      <c r="G1232">
        <f>+YEAR(Tabla__192.168.1.8_POSEIDONSQL_APPFVT_01_SQLFacturasRendidas[[#This Row],[f_facturacion]])</f>
        <v>2018</v>
      </c>
      <c r="H123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32">
        <f>+IF(Tabla__192.168.1.8_POSEIDONSQL_APPFVT_01_SQLFacturasRendidas[[#This Row],[epc_nombre]]="RENDIDA",1,0)</f>
        <v>1</v>
      </c>
      <c r="J1232">
        <f>+IF(Tabla__192.168.1.8_POSEIDONSQL_APPFVT_01_SQLFacturasRendidas[[#This Row],[usu_codigo]]="","",1)</f>
        <v>1</v>
      </c>
    </row>
    <row r="1233" spans="1:10" x14ac:dyDescent="0.25">
      <c r="A1233">
        <v>1</v>
      </c>
      <c r="B1233">
        <v>3</v>
      </c>
      <c r="C1233" t="s">
        <v>81</v>
      </c>
      <c r="D1233" t="s">
        <v>15</v>
      </c>
      <c r="E1233" t="s">
        <v>41</v>
      </c>
      <c r="F1233">
        <v>90779</v>
      </c>
      <c r="G1233">
        <f>+YEAR(Tabla__192.168.1.8_POSEIDONSQL_APPFVT_01_SQLFacturasRendidas[[#This Row],[f_facturacion]])</f>
        <v>2018</v>
      </c>
      <c r="H123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33">
        <f>+IF(Tabla__192.168.1.8_POSEIDONSQL_APPFVT_01_SQLFacturasRendidas[[#This Row],[epc_nombre]]="RENDIDA",1,0)</f>
        <v>1</v>
      </c>
      <c r="J1233">
        <f>+IF(Tabla__192.168.1.8_POSEIDONSQL_APPFVT_01_SQLFacturasRendidas[[#This Row],[usu_codigo]]="","",1)</f>
        <v>1</v>
      </c>
    </row>
    <row r="1234" spans="1:10" x14ac:dyDescent="0.25">
      <c r="A1234">
        <v>1</v>
      </c>
      <c r="B1234">
        <v>3</v>
      </c>
      <c r="C1234" t="s">
        <v>81</v>
      </c>
      <c r="D1234" t="s">
        <v>15</v>
      </c>
      <c r="E1234" t="s">
        <v>41</v>
      </c>
      <c r="F1234">
        <v>90780</v>
      </c>
      <c r="G1234">
        <f>+YEAR(Tabla__192.168.1.8_POSEIDONSQL_APPFVT_01_SQLFacturasRendidas[[#This Row],[f_facturacion]])</f>
        <v>2018</v>
      </c>
      <c r="H123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34">
        <f>+IF(Tabla__192.168.1.8_POSEIDONSQL_APPFVT_01_SQLFacturasRendidas[[#This Row],[epc_nombre]]="RENDIDA",1,0)</f>
        <v>1</v>
      </c>
      <c r="J1234">
        <f>+IF(Tabla__192.168.1.8_POSEIDONSQL_APPFVT_01_SQLFacturasRendidas[[#This Row],[usu_codigo]]="","",1)</f>
        <v>1</v>
      </c>
    </row>
    <row r="1235" spans="1:10" x14ac:dyDescent="0.25">
      <c r="A1235">
        <v>1</v>
      </c>
      <c r="B1235">
        <v>3</v>
      </c>
      <c r="C1235" t="s">
        <v>81</v>
      </c>
      <c r="D1235" t="s">
        <v>15</v>
      </c>
      <c r="E1235" t="s">
        <v>41</v>
      </c>
      <c r="F1235">
        <v>90781</v>
      </c>
      <c r="G1235">
        <f>+YEAR(Tabla__192.168.1.8_POSEIDONSQL_APPFVT_01_SQLFacturasRendidas[[#This Row],[f_facturacion]])</f>
        <v>2018</v>
      </c>
      <c r="H123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35">
        <f>+IF(Tabla__192.168.1.8_POSEIDONSQL_APPFVT_01_SQLFacturasRendidas[[#This Row],[epc_nombre]]="RENDIDA",1,0)</f>
        <v>1</v>
      </c>
      <c r="J1235">
        <f>+IF(Tabla__192.168.1.8_POSEIDONSQL_APPFVT_01_SQLFacturasRendidas[[#This Row],[usu_codigo]]="","",1)</f>
        <v>1</v>
      </c>
    </row>
    <row r="1236" spans="1:10" x14ac:dyDescent="0.25">
      <c r="A1236">
        <v>1</v>
      </c>
      <c r="B1236">
        <v>3</v>
      </c>
      <c r="C1236" t="s">
        <v>81</v>
      </c>
      <c r="D1236" t="s">
        <v>15</v>
      </c>
      <c r="E1236" t="s">
        <v>41</v>
      </c>
      <c r="F1236">
        <v>90782</v>
      </c>
      <c r="G1236">
        <f>+YEAR(Tabla__192.168.1.8_POSEIDONSQL_APPFVT_01_SQLFacturasRendidas[[#This Row],[f_facturacion]])</f>
        <v>2018</v>
      </c>
      <c r="H123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36">
        <f>+IF(Tabla__192.168.1.8_POSEIDONSQL_APPFVT_01_SQLFacturasRendidas[[#This Row],[epc_nombre]]="RENDIDA",1,0)</f>
        <v>1</v>
      </c>
      <c r="J1236">
        <f>+IF(Tabla__192.168.1.8_POSEIDONSQL_APPFVT_01_SQLFacturasRendidas[[#This Row],[usu_codigo]]="","",1)</f>
        <v>1</v>
      </c>
    </row>
    <row r="1237" spans="1:10" x14ac:dyDescent="0.25">
      <c r="A1237">
        <v>1</v>
      </c>
      <c r="B1237">
        <v>3</v>
      </c>
      <c r="C1237" t="s">
        <v>81</v>
      </c>
      <c r="D1237" t="s">
        <v>15</v>
      </c>
      <c r="E1237" t="s">
        <v>41</v>
      </c>
      <c r="F1237">
        <v>90783</v>
      </c>
      <c r="G1237">
        <f>+YEAR(Tabla__192.168.1.8_POSEIDONSQL_APPFVT_01_SQLFacturasRendidas[[#This Row],[f_facturacion]])</f>
        <v>2018</v>
      </c>
      <c r="H123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37">
        <f>+IF(Tabla__192.168.1.8_POSEIDONSQL_APPFVT_01_SQLFacturasRendidas[[#This Row],[epc_nombre]]="RENDIDA",1,0)</f>
        <v>1</v>
      </c>
      <c r="J1237">
        <f>+IF(Tabla__192.168.1.8_POSEIDONSQL_APPFVT_01_SQLFacturasRendidas[[#This Row],[usu_codigo]]="","",1)</f>
        <v>1</v>
      </c>
    </row>
    <row r="1238" spans="1:10" x14ac:dyDescent="0.25">
      <c r="A1238">
        <v>1</v>
      </c>
      <c r="B1238">
        <v>3</v>
      </c>
      <c r="C1238" t="s">
        <v>81</v>
      </c>
      <c r="D1238" t="s">
        <v>15</v>
      </c>
      <c r="E1238" t="s">
        <v>41</v>
      </c>
      <c r="F1238">
        <v>90784</v>
      </c>
      <c r="G1238">
        <f>+YEAR(Tabla__192.168.1.8_POSEIDONSQL_APPFVT_01_SQLFacturasRendidas[[#This Row],[f_facturacion]])</f>
        <v>2018</v>
      </c>
      <c r="H123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38">
        <f>+IF(Tabla__192.168.1.8_POSEIDONSQL_APPFVT_01_SQLFacturasRendidas[[#This Row],[epc_nombre]]="RENDIDA",1,0)</f>
        <v>1</v>
      </c>
      <c r="J1238">
        <f>+IF(Tabla__192.168.1.8_POSEIDONSQL_APPFVT_01_SQLFacturasRendidas[[#This Row],[usu_codigo]]="","",1)</f>
        <v>1</v>
      </c>
    </row>
    <row r="1239" spans="1:10" x14ac:dyDescent="0.25">
      <c r="A1239">
        <v>1</v>
      </c>
      <c r="B1239">
        <v>3</v>
      </c>
      <c r="C1239" t="s">
        <v>81</v>
      </c>
      <c r="D1239" t="s">
        <v>15</v>
      </c>
      <c r="E1239" t="s">
        <v>41</v>
      </c>
      <c r="F1239">
        <v>90785</v>
      </c>
      <c r="G1239">
        <f>+YEAR(Tabla__192.168.1.8_POSEIDONSQL_APPFVT_01_SQLFacturasRendidas[[#This Row],[f_facturacion]])</f>
        <v>2018</v>
      </c>
      <c r="H123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39">
        <f>+IF(Tabla__192.168.1.8_POSEIDONSQL_APPFVT_01_SQLFacturasRendidas[[#This Row],[epc_nombre]]="RENDIDA",1,0)</f>
        <v>1</v>
      </c>
      <c r="J1239">
        <f>+IF(Tabla__192.168.1.8_POSEIDONSQL_APPFVT_01_SQLFacturasRendidas[[#This Row],[usu_codigo]]="","",1)</f>
        <v>1</v>
      </c>
    </row>
    <row r="1240" spans="1:10" x14ac:dyDescent="0.25">
      <c r="A1240">
        <v>1</v>
      </c>
      <c r="B1240">
        <v>3</v>
      </c>
      <c r="C1240" t="s">
        <v>81</v>
      </c>
      <c r="D1240" t="s">
        <v>15</v>
      </c>
      <c r="E1240" t="s">
        <v>41</v>
      </c>
      <c r="F1240">
        <v>90786</v>
      </c>
      <c r="G1240">
        <f>+YEAR(Tabla__192.168.1.8_POSEIDONSQL_APPFVT_01_SQLFacturasRendidas[[#This Row],[f_facturacion]])</f>
        <v>2018</v>
      </c>
      <c r="H124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40">
        <f>+IF(Tabla__192.168.1.8_POSEIDONSQL_APPFVT_01_SQLFacturasRendidas[[#This Row],[epc_nombre]]="RENDIDA",1,0)</f>
        <v>1</v>
      </c>
      <c r="J1240">
        <f>+IF(Tabla__192.168.1.8_POSEIDONSQL_APPFVT_01_SQLFacturasRendidas[[#This Row],[usu_codigo]]="","",1)</f>
        <v>1</v>
      </c>
    </row>
    <row r="1241" spans="1:10" x14ac:dyDescent="0.25">
      <c r="A1241">
        <v>1</v>
      </c>
      <c r="B1241">
        <v>3</v>
      </c>
      <c r="C1241" t="s">
        <v>81</v>
      </c>
      <c r="D1241" t="s">
        <v>15</v>
      </c>
      <c r="E1241" t="s">
        <v>41</v>
      </c>
      <c r="F1241">
        <v>90787</v>
      </c>
      <c r="G1241">
        <f>+YEAR(Tabla__192.168.1.8_POSEIDONSQL_APPFVT_01_SQLFacturasRendidas[[#This Row],[f_facturacion]])</f>
        <v>2018</v>
      </c>
      <c r="H124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41">
        <f>+IF(Tabla__192.168.1.8_POSEIDONSQL_APPFVT_01_SQLFacturasRendidas[[#This Row],[epc_nombre]]="RENDIDA",1,0)</f>
        <v>1</v>
      </c>
      <c r="J1241">
        <f>+IF(Tabla__192.168.1.8_POSEIDONSQL_APPFVT_01_SQLFacturasRendidas[[#This Row],[usu_codigo]]="","",1)</f>
        <v>1</v>
      </c>
    </row>
    <row r="1242" spans="1:10" x14ac:dyDescent="0.25">
      <c r="A1242">
        <v>1</v>
      </c>
      <c r="B1242">
        <v>3</v>
      </c>
      <c r="C1242" t="s">
        <v>81</v>
      </c>
      <c r="D1242" t="s">
        <v>15</v>
      </c>
      <c r="E1242" t="s">
        <v>41</v>
      </c>
      <c r="F1242">
        <v>90788</v>
      </c>
      <c r="G1242">
        <f>+YEAR(Tabla__192.168.1.8_POSEIDONSQL_APPFVT_01_SQLFacturasRendidas[[#This Row],[f_facturacion]])</f>
        <v>2018</v>
      </c>
      <c r="H124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42">
        <f>+IF(Tabla__192.168.1.8_POSEIDONSQL_APPFVT_01_SQLFacturasRendidas[[#This Row],[epc_nombre]]="RENDIDA",1,0)</f>
        <v>1</v>
      </c>
      <c r="J1242">
        <f>+IF(Tabla__192.168.1.8_POSEIDONSQL_APPFVT_01_SQLFacturasRendidas[[#This Row],[usu_codigo]]="","",1)</f>
        <v>1</v>
      </c>
    </row>
    <row r="1243" spans="1:10" x14ac:dyDescent="0.25">
      <c r="A1243">
        <v>1</v>
      </c>
      <c r="B1243">
        <v>3</v>
      </c>
      <c r="C1243" t="s">
        <v>81</v>
      </c>
      <c r="D1243" t="s">
        <v>23</v>
      </c>
      <c r="E1243" t="s">
        <v>41</v>
      </c>
      <c r="F1243">
        <v>90789</v>
      </c>
      <c r="G1243">
        <f>+YEAR(Tabla__192.168.1.8_POSEIDONSQL_APPFVT_01_SQLFacturasRendidas[[#This Row],[f_facturacion]])</f>
        <v>2018</v>
      </c>
      <c r="H124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43">
        <f>+IF(Tabla__192.168.1.8_POSEIDONSQL_APPFVT_01_SQLFacturasRendidas[[#This Row],[epc_nombre]]="RENDIDA",1,0)</f>
        <v>0</v>
      </c>
      <c r="J1243">
        <f>+IF(Tabla__192.168.1.8_POSEIDONSQL_APPFVT_01_SQLFacturasRendidas[[#This Row],[usu_codigo]]="","",1)</f>
        <v>1</v>
      </c>
    </row>
    <row r="1244" spans="1:10" x14ac:dyDescent="0.25">
      <c r="A1244">
        <v>1</v>
      </c>
      <c r="B1244">
        <v>3</v>
      </c>
      <c r="C1244" t="s">
        <v>81</v>
      </c>
      <c r="D1244" t="s">
        <v>15</v>
      </c>
      <c r="E1244" t="s">
        <v>41</v>
      </c>
      <c r="F1244">
        <v>90790</v>
      </c>
      <c r="G1244">
        <f>+YEAR(Tabla__192.168.1.8_POSEIDONSQL_APPFVT_01_SQLFacturasRendidas[[#This Row],[f_facturacion]])</f>
        <v>2018</v>
      </c>
      <c r="H124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44">
        <f>+IF(Tabla__192.168.1.8_POSEIDONSQL_APPFVT_01_SQLFacturasRendidas[[#This Row],[epc_nombre]]="RENDIDA",1,0)</f>
        <v>1</v>
      </c>
      <c r="J1244">
        <f>+IF(Tabla__192.168.1.8_POSEIDONSQL_APPFVT_01_SQLFacturasRendidas[[#This Row],[usu_codigo]]="","",1)</f>
        <v>1</v>
      </c>
    </row>
    <row r="1245" spans="1:10" x14ac:dyDescent="0.25">
      <c r="A1245">
        <v>1</v>
      </c>
      <c r="B1245">
        <v>3</v>
      </c>
      <c r="C1245" t="s">
        <v>81</v>
      </c>
      <c r="D1245" t="s">
        <v>15</v>
      </c>
      <c r="E1245" t="s">
        <v>41</v>
      </c>
      <c r="F1245">
        <v>90791</v>
      </c>
      <c r="G1245">
        <f>+YEAR(Tabla__192.168.1.8_POSEIDONSQL_APPFVT_01_SQLFacturasRendidas[[#This Row],[f_facturacion]])</f>
        <v>2018</v>
      </c>
      <c r="H124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45">
        <f>+IF(Tabla__192.168.1.8_POSEIDONSQL_APPFVT_01_SQLFacturasRendidas[[#This Row],[epc_nombre]]="RENDIDA",1,0)</f>
        <v>1</v>
      </c>
      <c r="J1245">
        <f>+IF(Tabla__192.168.1.8_POSEIDONSQL_APPFVT_01_SQLFacturasRendidas[[#This Row],[usu_codigo]]="","",1)</f>
        <v>1</v>
      </c>
    </row>
    <row r="1246" spans="1:10" x14ac:dyDescent="0.25">
      <c r="A1246">
        <v>1</v>
      </c>
      <c r="B1246">
        <v>3</v>
      </c>
      <c r="C1246" t="s">
        <v>81</v>
      </c>
      <c r="D1246" t="s">
        <v>15</v>
      </c>
      <c r="E1246" t="s">
        <v>64</v>
      </c>
      <c r="F1246">
        <v>90830</v>
      </c>
      <c r="G1246">
        <f>+YEAR(Tabla__192.168.1.8_POSEIDONSQL_APPFVT_01_SQLFacturasRendidas[[#This Row],[f_facturacion]])</f>
        <v>2018</v>
      </c>
      <c r="H124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46">
        <f>+IF(Tabla__192.168.1.8_POSEIDONSQL_APPFVT_01_SQLFacturasRendidas[[#This Row],[epc_nombre]]="RENDIDA",1,0)</f>
        <v>1</v>
      </c>
      <c r="J1246">
        <f>+IF(Tabla__192.168.1.8_POSEIDONSQL_APPFVT_01_SQLFacturasRendidas[[#This Row],[usu_codigo]]="","",1)</f>
        <v>1</v>
      </c>
    </row>
    <row r="1247" spans="1:10" x14ac:dyDescent="0.25">
      <c r="A1247">
        <v>1</v>
      </c>
      <c r="B1247">
        <v>3</v>
      </c>
      <c r="C1247" t="s">
        <v>81</v>
      </c>
      <c r="D1247" t="s">
        <v>15</v>
      </c>
      <c r="E1247" t="s">
        <v>64</v>
      </c>
      <c r="F1247">
        <v>90831</v>
      </c>
      <c r="G1247">
        <f>+YEAR(Tabla__192.168.1.8_POSEIDONSQL_APPFVT_01_SQLFacturasRendidas[[#This Row],[f_facturacion]])</f>
        <v>2018</v>
      </c>
      <c r="H124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47">
        <f>+IF(Tabla__192.168.1.8_POSEIDONSQL_APPFVT_01_SQLFacturasRendidas[[#This Row],[epc_nombre]]="RENDIDA",1,0)</f>
        <v>1</v>
      </c>
      <c r="J1247">
        <f>+IF(Tabla__192.168.1.8_POSEIDONSQL_APPFVT_01_SQLFacturasRendidas[[#This Row],[usu_codigo]]="","",1)</f>
        <v>1</v>
      </c>
    </row>
    <row r="1248" spans="1:10" x14ac:dyDescent="0.25">
      <c r="A1248">
        <v>1</v>
      </c>
      <c r="B1248">
        <v>3</v>
      </c>
      <c r="C1248" t="s">
        <v>81</v>
      </c>
      <c r="D1248" t="s">
        <v>15</v>
      </c>
      <c r="E1248" t="s">
        <v>64</v>
      </c>
      <c r="F1248">
        <v>90832</v>
      </c>
      <c r="G1248">
        <f>+YEAR(Tabla__192.168.1.8_POSEIDONSQL_APPFVT_01_SQLFacturasRendidas[[#This Row],[f_facturacion]])</f>
        <v>2018</v>
      </c>
      <c r="H124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48">
        <f>+IF(Tabla__192.168.1.8_POSEIDONSQL_APPFVT_01_SQLFacturasRendidas[[#This Row],[epc_nombre]]="RENDIDA",1,0)</f>
        <v>1</v>
      </c>
      <c r="J1248">
        <f>+IF(Tabla__192.168.1.8_POSEIDONSQL_APPFVT_01_SQLFacturasRendidas[[#This Row],[usu_codigo]]="","",1)</f>
        <v>1</v>
      </c>
    </row>
    <row r="1249" spans="1:10" x14ac:dyDescent="0.25">
      <c r="A1249">
        <v>1</v>
      </c>
      <c r="B1249">
        <v>3</v>
      </c>
      <c r="C1249" t="s">
        <v>81</v>
      </c>
      <c r="D1249" t="s">
        <v>15</v>
      </c>
      <c r="E1249" t="s">
        <v>64</v>
      </c>
      <c r="F1249">
        <v>90833</v>
      </c>
      <c r="G1249">
        <f>+YEAR(Tabla__192.168.1.8_POSEIDONSQL_APPFVT_01_SQLFacturasRendidas[[#This Row],[f_facturacion]])</f>
        <v>2018</v>
      </c>
      <c r="H124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49">
        <f>+IF(Tabla__192.168.1.8_POSEIDONSQL_APPFVT_01_SQLFacturasRendidas[[#This Row],[epc_nombre]]="RENDIDA",1,0)</f>
        <v>1</v>
      </c>
      <c r="J1249">
        <f>+IF(Tabla__192.168.1.8_POSEIDONSQL_APPFVT_01_SQLFacturasRendidas[[#This Row],[usu_codigo]]="","",1)</f>
        <v>1</v>
      </c>
    </row>
    <row r="1250" spans="1:10" x14ac:dyDescent="0.25">
      <c r="A1250">
        <v>1</v>
      </c>
      <c r="B1250">
        <v>3</v>
      </c>
      <c r="C1250" t="s">
        <v>81</v>
      </c>
      <c r="D1250" t="s">
        <v>15</v>
      </c>
      <c r="E1250" t="s">
        <v>64</v>
      </c>
      <c r="F1250">
        <v>90834</v>
      </c>
      <c r="G1250">
        <f>+YEAR(Tabla__192.168.1.8_POSEIDONSQL_APPFVT_01_SQLFacturasRendidas[[#This Row],[f_facturacion]])</f>
        <v>2018</v>
      </c>
      <c r="H125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50">
        <f>+IF(Tabla__192.168.1.8_POSEIDONSQL_APPFVT_01_SQLFacturasRendidas[[#This Row],[epc_nombre]]="RENDIDA",1,0)</f>
        <v>1</v>
      </c>
      <c r="J1250">
        <f>+IF(Tabla__192.168.1.8_POSEIDONSQL_APPFVT_01_SQLFacturasRendidas[[#This Row],[usu_codigo]]="","",1)</f>
        <v>1</v>
      </c>
    </row>
    <row r="1251" spans="1:10" x14ac:dyDescent="0.25">
      <c r="A1251">
        <v>1</v>
      </c>
      <c r="B1251">
        <v>3</v>
      </c>
      <c r="C1251" t="s">
        <v>81</v>
      </c>
      <c r="D1251" t="s">
        <v>15</v>
      </c>
      <c r="E1251" t="s">
        <v>64</v>
      </c>
      <c r="F1251">
        <v>90835</v>
      </c>
      <c r="G1251">
        <f>+YEAR(Tabla__192.168.1.8_POSEIDONSQL_APPFVT_01_SQLFacturasRendidas[[#This Row],[f_facturacion]])</f>
        <v>2018</v>
      </c>
      <c r="H125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51">
        <f>+IF(Tabla__192.168.1.8_POSEIDONSQL_APPFVT_01_SQLFacturasRendidas[[#This Row],[epc_nombre]]="RENDIDA",1,0)</f>
        <v>1</v>
      </c>
      <c r="J1251">
        <f>+IF(Tabla__192.168.1.8_POSEIDONSQL_APPFVT_01_SQLFacturasRendidas[[#This Row],[usu_codigo]]="","",1)</f>
        <v>1</v>
      </c>
    </row>
    <row r="1252" spans="1:10" x14ac:dyDescent="0.25">
      <c r="A1252">
        <v>1</v>
      </c>
      <c r="B1252">
        <v>3</v>
      </c>
      <c r="C1252" t="s">
        <v>81</v>
      </c>
      <c r="D1252" t="s">
        <v>15</v>
      </c>
      <c r="E1252" t="s">
        <v>64</v>
      </c>
      <c r="F1252">
        <v>90836</v>
      </c>
      <c r="G1252">
        <f>+YEAR(Tabla__192.168.1.8_POSEIDONSQL_APPFVT_01_SQLFacturasRendidas[[#This Row],[f_facturacion]])</f>
        <v>2018</v>
      </c>
      <c r="H125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52">
        <f>+IF(Tabla__192.168.1.8_POSEIDONSQL_APPFVT_01_SQLFacturasRendidas[[#This Row],[epc_nombre]]="RENDIDA",1,0)</f>
        <v>1</v>
      </c>
      <c r="J1252">
        <f>+IF(Tabla__192.168.1.8_POSEIDONSQL_APPFVT_01_SQLFacturasRendidas[[#This Row],[usu_codigo]]="","",1)</f>
        <v>1</v>
      </c>
    </row>
    <row r="1253" spans="1:10" x14ac:dyDescent="0.25">
      <c r="A1253">
        <v>1</v>
      </c>
      <c r="B1253">
        <v>3</v>
      </c>
      <c r="C1253" t="s">
        <v>81</v>
      </c>
      <c r="D1253" t="s">
        <v>15</v>
      </c>
      <c r="E1253" t="s">
        <v>64</v>
      </c>
      <c r="F1253">
        <v>90837</v>
      </c>
      <c r="G1253">
        <f>+YEAR(Tabla__192.168.1.8_POSEIDONSQL_APPFVT_01_SQLFacturasRendidas[[#This Row],[f_facturacion]])</f>
        <v>2018</v>
      </c>
      <c r="H125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53">
        <f>+IF(Tabla__192.168.1.8_POSEIDONSQL_APPFVT_01_SQLFacturasRendidas[[#This Row],[epc_nombre]]="RENDIDA",1,0)</f>
        <v>1</v>
      </c>
      <c r="J1253">
        <f>+IF(Tabla__192.168.1.8_POSEIDONSQL_APPFVT_01_SQLFacturasRendidas[[#This Row],[usu_codigo]]="","",1)</f>
        <v>1</v>
      </c>
    </row>
    <row r="1254" spans="1:10" x14ac:dyDescent="0.25">
      <c r="A1254">
        <v>1</v>
      </c>
      <c r="B1254">
        <v>3</v>
      </c>
      <c r="C1254" t="s">
        <v>81</v>
      </c>
      <c r="D1254" t="s">
        <v>15</v>
      </c>
      <c r="E1254" t="s">
        <v>64</v>
      </c>
      <c r="F1254">
        <v>90838</v>
      </c>
      <c r="G1254">
        <f>+YEAR(Tabla__192.168.1.8_POSEIDONSQL_APPFVT_01_SQLFacturasRendidas[[#This Row],[f_facturacion]])</f>
        <v>2018</v>
      </c>
      <c r="H125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54">
        <f>+IF(Tabla__192.168.1.8_POSEIDONSQL_APPFVT_01_SQLFacturasRendidas[[#This Row],[epc_nombre]]="RENDIDA",1,0)</f>
        <v>1</v>
      </c>
      <c r="J1254">
        <f>+IF(Tabla__192.168.1.8_POSEIDONSQL_APPFVT_01_SQLFacturasRendidas[[#This Row],[usu_codigo]]="","",1)</f>
        <v>1</v>
      </c>
    </row>
    <row r="1255" spans="1:10" x14ac:dyDescent="0.25">
      <c r="A1255">
        <v>1</v>
      </c>
      <c r="B1255">
        <v>3</v>
      </c>
      <c r="C1255" t="s">
        <v>81</v>
      </c>
      <c r="D1255" t="s">
        <v>15</v>
      </c>
      <c r="E1255" t="s">
        <v>64</v>
      </c>
      <c r="F1255">
        <v>90839</v>
      </c>
      <c r="G1255">
        <f>+YEAR(Tabla__192.168.1.8_POSEIDONSQL_APPFVT_01_SQLFacturasRendidas[[#This Row],[f_facturacion]])</f>
        <v>2018</v>
      </c>
      <c r="H125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55">
        <f>+IF(Tabla__192.168.1.8_POSEIDONSQL_APPFVT_01_SQLFacturasRendidas[[#This Row],[epc_nombre]]="RENDIDA",1,0)</f>
        <v>1</v>
      </c>
      <c r="J1255">
        <f>+IF(Tabla__192.168.1.8_POSEIDONSQL_APPFVT_01_SQLFacturasRendidas[[#This Row],[usu_codigo]]="","",1)</f>
        <v>1</v>
      </c>
    </row>
    <row r="1256" spans="1:10" x14ac:dyDescent="0.25">
      <c r="A1256">
        <v>1</v>
      </c>
      <c r="B1256">
        <v>3</v>
      </c>
      <c r="C1256" t="s">
        <v>81</v>
      </c>
      <c r="D1256" t="s">
        <v>15</v>
      </c>
      <c r="E1256" t="s">
        <v>64</v>
      </c>
      <c r="F1256">
        <v>90840</v>
      </c>
      <c r="G1256">
        <f>+YEAR(Tabla__192.168.1.8_POSEIDONSQL_APPFVT_01_SQLFacturasRendidas[[#This Row],[f_facturacion]])</f>
        <v>2018</v>
      </c>
      <c r="H125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56">
        <f>+IF(Tabla__192.168.1.8_POSEIDONSQL_APPFVT_01_SQLFacturasRendidas[[#This Row],[epc_nombre]]="RENDIDA",1,0)</f>
        <v>1</v>
      </c>
      <c r="J1256">
        <f>+IF(Tabla__192.168.1.8_POSEIDONSQL_APPFVT_01_SQLFacturasRendidas[[#This Row],[usu_codigo]]="","",1)</f>
        <v>1</v>
      </c>
    </row>
    <row r="1257" spans="1:10" x14ac:dyDescent="0.25">
      <c r="A1257">
        <v>1</v>
      </c>
      <c r="B1257">
        <v>3</v>
      </c>
      <c r="C1257" t="s">
        <v>81</v>
      </c>
      <c r="D1257" t="s">
        <v>15</v>
      </c>
      <c r="E1257" t="s">
        <v>64</v>
      </c>
      <c r="F1257">
        <v>90841</v>
      </c>
      <c r="G1257">
        <f>+YEAR(Tabla__192.168.1.8_POSEIDONSQL_APPFVT_01_SQLFacturasRendidas[[#This Row],[f_facturacion]])</f>
        <v>2018</v>
      </c>
      <c r="H125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57">
        <f>+IF(Tabla__192.168.1.8_POSEIDONSQL_APPFVT_01_SQLFacturasRendidas[[#This Row],[epc_nombre]]="RENDIDA",1,0)</f>
        <v>1</v>
      </c>
      <c r="J1257">
        <f>+IF(Tabla__192.168.1.8_POSEIDONSQL_APPFVT_01_SQLFacturasRendidas[[#This Row],[usu_codigo]]="","",1)</f>
        <v>1</v>
      </c>
    </row>
    <row r="1258" spans="1:10" x14ac:dyDescent="0.25">
      <c r="A1258">
        <v>1</v>
      </c>
      <c r="B1258">
        <v>3</v>
      </c>
      <c r="C1258" t="s">
        <v>81</v>
      </c>
      <c r="D1258" t="s">
        <v>15</v>
      </c>
      <c r="E1258" t="s">
        <v>64</v>
      </c>
      <c r="F1258">
        <v>90842</v>
      </c>
      <c r="G1258">
        <f>+YEAR(Tabla__192.168.1.8_POSEIDONSQL_APPFVT_01_SQLFacturasRendidas[[#This Row],[f_facturacion]])</f>
        <v>2018</v>
      </c>
      <c r="H125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58">
        <f>+IF(Tabla__192.168.1.8_POSEIDONSQL_APPFVT_01_SQLFacturasRendidas[[#This Row],[epc_nombre]]="RENDIDA",1,0)</f>
        <v>1</v>
      </c>
      <c r="J1258">
        <f>+IF(Tabla__192.168.1.8_POSEIDONSQL_APPFVT_01_SQLFacturasRendidas[[#This Row],[usu_codigo]]="","",1)</f>
        <v>1</v>
      </c>
    </row>
    <row r="1259" spans="1:10" x14ac:dyDescent="0.25">
      <c r="A1259">
        <v>1</v>
      </c>
      <c r="B1259">
        <v>3</v>
      </c>
      <c r="C1259" t="s">
        <v>81</v>
      </c>
      <c r="D1259" t="s">
        <v>15</v>
      </c>
      <c r="E1259" t="s">
        <v>64</v>
      </c>
      <c r="F1259">
        <v>90843</v>
      </c>
      <c r="G1259">
        <f>+YEAR(Tabla__192.168.1.8_POSEIDONSQL_APPFVT_01_SQLFacturasRendidas[[#This Row],[f_facturacion]])</f>
        <v>2018</v>
      </c>
      <c r="H125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59">
        <f>+IF(Tabla__192.168.1.8_POSEIDONSQL_APPFVT_01_SQLFacturasRendidas[[#This Row],[epc_nombre]]="RENDIDA",1,0)</f>
        <v>1</v>
      </c>
      <c r="J1259">
        <f>+IF(Tabla__192.168.1.8_POSEIDONSQL_APPFVT_01_SQLFacturasRendidas[[#This Row],[usu_codigo]]="","",1)</f>
        <v>1</v>
      </c>
    </row>
    <row r="1260" spans="1:10" x14ac:dyDescent="0.25">
      <c r="A1260">
        <v>1</v>
      </c>
      <c r="B1260">
        <v>3</v>
      </c>
      <c r="C1260" t="s">
        <v>81</v>
      </c>
      <c r="D1260" t="s">
        <v>15</v>
      </c>
      <c r="E1260" t="s">
        <v>64</v>
      </c>
      <c r="F1260">
        <v>90844</v>
      </c>
      <c r="G1260">
        <f>+YEAR(Tabla__192.168.1.8_POSEIDONSQL_APPFVT_01_SQLFacturasRendidas[[#This Row],[f_facturacion]])</f>
        <v>2018</v>
      </c>
      <c r="H126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60">
        <f>+IF(Tabla__192.168.1.8_POSEIDONSQL_APPFVT_01_SQLFacturasRendidas[[#This Row],[epc_nombre]]="RENDIDA",1,0)</f>
        <v>1</v>
      </c>
      <c r="J1260">
        <f>+IF(Tabla__192.168.1.8_POSEIDONSQL_APPFVT_01_SQLFacturasRendidas[[#This Row],[usu_codigo]]="","",1)</f>
        <v>1</v>
      </c>
    </row>
    <row r="1261" spans="1:10" x14ac:dyDescent="0.25">
      <c r="A1261">
        <v>1</v>
      </c>
      <c r="B1261">
        <v>3</v>
      </c>
      <c r="C1261" t="s">
        <v>81</v>
      </c>
      <c r="D1261" t="s">
        <v>15</v>
      </c>
      <c r="E1261" t="s">
        <v>64</v>
      </c>
      <c r="F1261">
        <v>90845</v>
      </c>
      <c r="G1261">
        <f>+YEAR(Tabla__192.168.1.8_POSEIDONSQL_APPFVT_01_SQLFacturasRendidas[[#This Row],[f_facturacion]])</f>
        <v>2018</v>
      </c>
      <c r="H126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61">
        <f>+IF(Tabla__192.168.1.8_POSEIDONSQL_APPFVT_01_SQLFacturasRendidas[[#This Row],[epc_nombre]]="RENDIDA",1,0)</f>
        <v>1</v>
      </c>
      <c r="J1261">
        <f>+IF(Tabla__192.168.1.8_POSEIDONSQL_APPFVT_01_SQLFacturasRendidas[[#This Row],[usu_codigo]]="","",1)</f>
        <v>1</v>
      </c>
    </row>
    <row r="1262" spans="1:10" x14ac:dyDescent="0.25">
      <c r="A1262">
        <v>1</v>
      </c>
      <c r="B1262">
        <v>3</v>
      </c>
      <c r="C1262" t="s">
        <v>81</v>
      </c>
      <c r="D1262" t="s">
        <v>15</v>
      </c>
      <c r="E1262" t="s">
        <v>64</v>
      </c>
      <c r="F1262">
        <v>90846</v>
      </c>
      <c r="G1262">
        <f>+YEAR(Tabla__192.168.1.8_POSEIDONSQL_APPFVT_01_SQLFacturasRendidas[[#This Row],[f_facturacion]])</f>
        <v>2018</v>
      </c>
      <c r="H126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62">
        <f>+IF(Tabla__192.168.1.8_POSEIDONSQL_APPFVT_01_SQLFacturasRendidas[[#This Row],[epc_nombre]]="RENDIDA",1,0)</f>
        <v>1</v>
      </c>
      <c r="J1262">
        <f>+IF(Tabla__192.168.1.8_POSEIDONSQL_APPFVT_01_SQLFacturasRendidas[[#This Row],[usu_codigo]]="","",1)</f>
        <v>1</v>
      </c>
    </row>
    <row r="1263" spans="1:10" x14ac:dyDescent="0.25">
      <c r="A1263">
        <v>1</v>
      </c>
      <c r="B1263">
        <v>3</v>
      </c>
      <c r="C1263" t="s">
        <v>81</v>
      </c>
      <c r="D1263" t="s">
        <v>15</v>
      </c>
      <c r="E1263" t="s">
        <v>64</v>
      </c>
      <c r="F1263">
        <v>90847</v>
      </c>
      <c r="G1263">
        <f>+YEAR(Tabla__192.168.1.8_POSEIDONSQL_APPFVT_01_SQLFacturasRendidas[[#This Row],[f_facturacion]])</f>
        <v>2018</v>
      </c>
      <c r="H126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63">
        <f>+IF(Tabla__192.168.1.8_POSEIDONSQL_APPFVT_01_SQLFacturasRendidas[[#This Row],[epc_nombre]]="RENDIDA",1,0)</f>
        <v>1</v>
      </c>
      <c r="J1263">
        <f>+IF(Tabla__192.168.1.8_POSEIDONSQL_APPFVT_01_SQLFacturasRendidas[[#This Row],[usu_codigo]]="","",1)</f>
        <v>1</v>
      </c>
    </row>
    <row r="1264" spans="1:10" x14ac:dyDescent="0.25">
      <c r="A1264">
        <v>1</v>
      </c>
      <c r="B1264">
        <v>3</v>
      </c>
      <c r="C1264" t="s">
        <v>81</v>
      </c>
      <c r="D1264" t="s">
        <v>15</v>
      </c>
      <c r="E1264" t="s">
        <v>64</v>
      </c>
      <c r="F1264">
        <v>90848</v>
      </c>
      <c r="G1264">
        <f>+YEAR(Tabla__192.168.1.8_POSEIDONSQL_APPFVT_01_SQLFacturasRendidas[[#This Row],[f_facturacion]])</f>
        <v>2018</v>
      </c>
      <c r="H126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64">
        <f>+IF(Tabla__192.168.1.8_POSEIDONSQL_APPFVT_01_SQLFacturasRendidas[[#This Row],[epc_nombre]]="RENDIDA",1,0)</f>
        <v>1</v>
      </c>
      <c r="J1264">
        <f>+IF(Tabla__192.168.1.8_POSEIDONSQL_APPFVT_01_SQLFacturasRendidas[[#This Row],[usu_codigo]]="","",1)</f>
        <v>1</v>
      </c>
    </row>
    <row r="1265" spans="1:10" x14ac:dyDescent="0.25">
      <c r="A1265">
        <v>1</v>
      </c>
      <c r="B1265">
        <v>3</v>
      </c>
      <c r="C1265" t="s">
        <v>81</v>
      </c>
      <c r="D1265" t="s">
        <v>15</v>
      </c>
      <c r="E1265" t="s">
        <v>64</v>
      </c>
      <c r="F1265">
        <v>90849</v>
      </c>
      <c r="G1265">
        <f>+YEAR(Tabla__192.168.1.8_POSEIDONSQL_APPFVT_01_SQLFacturasRendidas[[#This Row],[f_facturacion]])</f>
        <v>2018</v>
      </c>
      <c r="H126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65">
        <f>+IF(Tabla__192.168.1.8_POSEIDONSQL_APPFVT_01_SQLFacturasRendidas[[#This Row],[epc_nombre]]="RENDIDA",1,0)</f>
        <v>1</v>
      </c>
      <c r="J1265">
        <f>+IF(Tabla__192.168.1.8_POSEIDONSQL_APPFVT_01_SQLFacturasRendidas[[#This Row],[usu_codigo]]="","",1)</f>
        <v>1</v>
      </c>
    </row>
    <row r="1266" spans="1:10" x14ac:dyDescent="0.25">
      <c r="A1266">
        <v>1</v>
      </c>
      <c r="B1266">
        <v>3</v>
      </c>
      <c r="C1266" t="s">
        <v>81</v>
      </c>
      <c r="D1266" t="s">
        <v>15</v>
      </c>
      <c r="E1266" t="s">
        <v>64</v>
      </c>
      <c r="F1266">
        <v>90850</v>
      </c>
      <c r="G1266">
        <f>+YEAR(Tabla__192.168.1.8_POSEIDONSQL_APPFVT_01_SQLFacturasRendidas[[#This Row],[f_facturacion]])</f>
        <v>2018</v>
      </c>
      <c r="H126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66">
        <f>+IF(Tabla__192.168.1.8_POSEIDONSQL_APPFVT_01_SQLFacturasRendidas[[#This Row],[epc_nombre]]="RENDIDA",1,0)</f>
        <v>1</v>
      </c>
      <c r="J1266">
        <f>+IF(Tabla__192.168.1.8_POSEIDONSQL_APPFVT_01_SQLFacturasRendidas[[#This Row],[usu_codigo]]="","",1)</f>
        <v>1</v>
      </c>
    </row>
    <row r="1267" spans="1:10" x14ac:dyDescent="0.25">
      <c r="A1267">
        <v>1</v>
      </c>
      <c r="B1267">
        <v>3</v>
      </c>
      <c r="C1267" t="s">
        <v>81</v>
      </c>
      <c r="D1267" t="s">
        <v>15</v>
      </c>
      <c r="E1267" t="s">
        <v>65</v>
      </c>
      <c r="F1267">
        <v>90943</v>
      </c>
      <c r="G1267">
        <f>+YEAR(Tabla__192.168.1.8_POSEIDONSQL_APPFVT_01_SQLFacturasRendidas[[#This Row],[f_facturacion]])</f>
        <v>2018</v>
      </c>
      <c r="H126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67">
        <f>+IF(Tabla__192.168.1.8_POSEIDONSQL_APPFVT_01_SQLFacturasRendidas[[#This Row],[epc_nombre]]="RENDIDA",1,0)</f>
        <v>1</v>
      </c>
      <c r="J1267">
        <f>+IF(Tabla__192.168.1.8_POSEIDONSQL_APPFVT_01_SQLFacturasRendidas[[#This Row],[usu_codigo]]="","",1)</f>
        <v>1</v>
      </c>
    </row>
    <row r="1268" spans="1:10" x14ac:dyDescent="0.25">
      <c r="A1268">
        <v>1</v>
      </c>
      <c r="B1268">
        <v>3</v>
      </c>
      <c r="C1268" t="s">
        <v>81</v>
      </c>
      <c r="D1268" t="s">
        <v>15</v>
      </c>
      <c r="E1268" t="s">
        <v>65</v>
      </c>
      <c r="F1268">
        <v>90944</v>
      </c>
      <c r="G1268">
        <f>+YEAR(Tabla__192.168.1.8_POSEIDONSQL_APPFVT_01_SQLFacturasRendidas[[#This Row],[f_facturacion]])</f>
        <v>2018</v>
      </c>
      <c r="H126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68">
        <f>+IF(Tabla__192.168.1.8_POSEIDONSQL_APPFVT_01_SQLFacturasRendidas[[#This Row],[epc_nombre]]="RENDIDA",1,0)</f>
        <v>1</v>
      </c>
      <c r="J1268">
        <f>+IF(Tabla__192.168.1.8_POSEIDONSQL_APPFVT_01_SQLFacturasRendidas[[#This Row],[usu_codigo]]="","",1)</f>
        <v>1</v>
      </c>
    </row>
    <row r="1269" spans="1:10" x14ac:dyDescent="0.25">
      <c r="A1269">
        <v>1</v>
      </c>
      <c r="B1269">
        <v>3</v>
      </c>
      <c r="C1269" t="s">
        <v>81</v>
      </c>
      <c r="D1269" t="s">
        <v>15</v>
      </c>
      <c r="E1269" t="s">
        <v>65</v>
      </c>
      <c r="F1269">
        <v>90945</v>
      </c>
      <c r="G1269">
        <f>+YEAR(Tabla__192.168.1.8_POSEIDONSQL_APPFVT_01_SQLFacturasRendidas[[#This Row],[f_facturacion]])</f>
        <v>2018</v>
      </c>
      <c r="H126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69">
        <f>+IF(Tabla__192.168.1.8_POSEIDONSQL_APPFVT_01_SQLFacturasRendidas[[#This Row],[epc_nombre]]="RENDIDA",1,0)</f>
        <v>1</v>
      </c>
      <c r="J1269">
        <f>+IF(Tabla__192.168.1.8_POSEIDONSQL_APPFVT_01_SQLFacturasRendidas[[#This Row],[usu_codigo]]="","",1)</f>
        <v>1</v>
      </c>
    </row>
    <row r="1270" spans="1:10" x14ac:dyDescent="0.25">
      <c r="A1270">
        <v>1</v>
      </c>
      <c r="B1270">
        <v>3</v>
      </c>
      <c r="C1270" t="s">
        <v>81</v>
      </c>
      <c r="D1270" t="s">
        <v>15</v>
      </c>
      <c r="E1270" t="s">
        <v>65</v>
      </c>
      <c r="F1270">
        <v>90946</v>
      </c>
      <c r="G1270">
        <f>+YEAR(Tabla__192.168.1.8_POSEIDONSQL_APPFVT_01_SQLFacturasRendidas[[#This Row],[f_facturacion]])</f>
        <v>2018</v>
      </c>
      <c r="H127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70">
        <f>+IF(Tabla__192.168.1.8_POSEIDONSQL_APPFVT_01_SQLFacturasRendidas[[#This Row],[epc_nombre]]="RENDIDA",1,0)</f>
        <v>1</v>
      </c>
      <c r="J1270">
        <f>+IF(Tabla__192.168.1.8_POSEIDONSQL_APPFVT_01_SQLFacturasRendidas[[#This Row],[usu_codigo]]="","",1)</f>
        <v>1</v>
      </c>
    </row>
    <row r="1271" spans="1:10" x14ac:dyDescent="0.25">
      <c r="A1271">
        <v>1</v>
      </c>
      <c r="B1271">
        <v>3</v>
      </c>
      <c r="C1271" t="s">
        <v>81</v>
      </c>
      <c r="D1271" t="s">
        <v>15</v>
      </c>
      <c r="E1271" t="s">
        <v>65</v>
      </c>
      <c r="F1271">
        <v>90947</v>
      </c>
      <c r="G1271">
        <f>+YEAR(Tabla__192.168.1.8_POSEIDONSQL_APPFVT_01_SQLFacturasRendidas[[#This Row],[f_facturacion]])</f>
        <v>2018</v>
      </c>
      <c r="H127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71">
        <f>+IF(Tabla__192.168.1.8_POSEIDONSQL_APPFVT_01_SQLFacturasRendidas[[#This Row],[epc_nombre]]="RENDIDA",1,0)</f>
        <v>1</v>
      </c>
      <c r="J1271">
        <f>+IF(Tabla__192.168.1.8_POSEIDONSQL_APPFVT_01_SQLFacturasRendidas[[#This Row],[usu_codigo]]="","",1)</f>
        <v>1</v>
      </c>
    </row>
    <row r="1272" spans="1:10" x14ac:dyDescent="0.25">
      <c r="A1272">
        <v>1</v>
      </c>
      <c r="B1272">
        <v>3</v>
      </c>
      <c r="C1272" t="s">
        <v>81</v>
      </c>
      <c r="D1272" t="s">
        <v>23</v>
      </c>
      <c r="E1272" t="s">
        <v>65</v>
      </c>
      <c r="F1272">
        <v>90948</v>
      </c>
      <c r="G1272">
        <f>+YEAR(Tabla__192.168.1.8_POSEIDONSQL_APPFVT_01_SQLFacturasRendidas[[#This Row],[f_facturacion]])</f>
        <v>2018</v>
      </c>
      <c r="H127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72">
        <f>+IF(Tabla__192.168.1.8_POSEIDONSQL_APPFVT_01_SQLFacturasRendidas[[#This Row],[epc_nombre]]="RENDIDA",1,0)</f>
        <v>0</v>
      </c>
      <c r="J1272">
        <f>+IF(Tabla__192.168.1.8_POSEIDONSQL_APPFVT_01_SQLFacturasRendidas[[#This Row],[usu_codigo]]="","",1)</f>
        <v>1</v>
      </c>
    </row>
    <row r="1273" spans="1:10" x14ac:dyDescent="0.25">
      <c r="A1273">
        <v>1</v>
      </c>
      <c r="B1273">
        <v>3</v>
      </c>
      <c r="C1273" t="s">
        <v>81</v>
      </c>
      <c r="D1273" t="s">
        <v>15</v>
      </c>
      <c r="E1273" t="s">
        <v>65</v>
      </c>
      <c r="F1273">
        <v>90949</v>
      </c>
      <c r="G1273">
        <f>+YEAR(Tabla__192.168.1.8_POSEIDONSQL_APPFVT_01_SQLFacturasRendidas[[#This Row],[f_facturacion]])</f>
        <v>2018</v>
      </c>
      <c r="H127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73">
        <f>+IF(Tabla__192.168.1.8_POSEIDONSQL_APPFVT_01_SQLFacturasRendidas[[#This Row],[epc_nombre]]="RENDIDA",1,0)</f>
        <v>1</v>
      </c>
      <c r="J1273">
        <f>+IF(Tabla__192.168.1.8_POSEIDONSQL_APPFVT_01_SQLFacturasRendidas[[#This Row],[usu_codigo]]="","",1)</f>
        <v>1</v>
      </c>
    </row>
    <row r="1274" spans="1:10" x14ac:dyDescent="0.25">
      <c r="A1274">
        <v>1</v>
      </c>
      <c r="B1274">
        <v>3</v>
      </c>
      <c r="C1274" t="s">
        <v>81</v>
      </c>
      <c r="D1274" t="s">
        <v>15</v>
      </c>
      <c r="E1274" t="s">
        <v>65</v>
      </c>
      <c r="F1274">
        <v>90950</v>
      </c>
      <c r="G1274">
        <f>+YEAR(Tabla__192.168.1.8_POSEIDONSQL_APPFVT_01_SQLFacturasRendidas[[#This Row],[f_facturacion]])</f>
        <v>2018</v>
      </c>
      <c r="H127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74">
        <f>+IF(Tabla__192.168.1.8_POSEIDONSQL_APPFVT_01_SQLFacturasRendidas[[#This Row],[epc_nombre]]="RENDIDA",1,0)</f>
        <v>1</v>
      </c>
      <c r="J1274">
        <f>+IF(Tabla__192.168.1.8_POSEIDONSQL_APPFVT_01_SQLFacturasRendidas[[#This Row],[usu_codigo]]="","",1)</f>
        <v>1</v>
      </c>
    </row>
    <row r="1275" spans="1:10" x14ac:dyDescent="0.25">
      <c r="A1275">
        <v>1</v>
      </c>
      <c r="B1275">
        <v>3</v>
      </c>
      <c r="C1275" t="s">
        <v>81</v>
      </c>
      <c r="D1275" t="s">
        <v>15</v>
      </c>
      <c r="E1275" t="s">
        <v>65</v>
      </c>
      <c r="F1275">
        <v>90951</v>
      </c>
      <c r="G1275">
        <f>+YEAR(Tabla__192.168.1.8_POSEIDONSQL_APPFVT_01_SQLFacturasRendidas[[#This Row],[f_facturacion]])</f>
        <v>2018</v>
      </c>
      <c r="H127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75">
        <f>+IF(Tabla__192.168.1.8_POSEIDONSQL_APPFVT_01_SQLFacturasRendidas[[#This Row],[epc_nombre]]="RENDIDA",1,0)</f>
        <v>1</v>
      </c>
      <c r="J1275">
        <f>+IF(Tabla__192.168.1.8_POSEIDONSQL_APPFVT_01_SQLFacturasRendidas[[#This Row],[usu_codigo]]="","",1)</f>
        <v>1</v>
      </c>
    </row>
    <row r="1276" spans="1:10" x14ac:dyDescent="0.25">
      <c r="A1276">
        <v>1</v>
      </c>
      <c r="B1276">
        <v>3</v>
      </c>
      <c r="C1276" t="s">
        <v>81</v>
      </c>
      <c r="D1276" t="s">
        <v>15</v>
      </c>
      <c r="E1276" t="s">
        <v>65</v>
      </c>
      <c r="F1276">
        <v>90952</v>
      </c>
      <c r="G1276">
        <f>+YEAR(Tabla__192.168.1.8_POSEIDONSQL_APPFVT_01_SQLFacturasRendidas[[#This Row],[f_facturacion]])</f>
        <v>2018</v>
      </c>
      <c r="H127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76">
        <f>+IF(Tabla__192.168.1.8_POSEIDONSQL_APPFVT_01_SQLFacturasRendidas[[#This Row],[epc_nombre]]="RENDIDA",1,0)</f>
        <v>1</v>
      </c>
      <c r="J1276">
        <f>+IF(Tabla__192.168.1.8_POSEIDONSQL_APPFVT_01_SQLFacturasRendidas[[#This Row],[usu_codigo]]="","",1)</f>
        <v>1</v>
      </c>
    </row>
    <row r="1277" spans="1:10" x14ac:dyDescent="0.25">
      <c r="A1277">
        <v>1</v>
      </c>
      <c r="B1277">
        <v>3</v>
      </c>
      <c r="C1277" t="s">
        <v>81</v>
      </c>
      <c r="D1277" t="s">
        <v>15</v>
      </c>
      <c r="E1277" t="s">
        <v>65</v>
      </c>
      <c r="F1277">
        <v>90953</v>
      </c>
      <c r="G1277">
        <f>+YEAR(Tabla__192.168.1.8_POSEIDONSQL_APPFVT_01_SQLFacturasRendidas[[#This Row],[f_facturacion]])</f>
        <v>2018</v>
      </c>
      <c r="H127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77">
        <f>+IF(Tabla__192.168.1.8_POSEIDONSQL_APPFVT_01_SQLFacturasRendidas[[#This Row],[epc_nombre]]="RENDIDA",1,0)</f>
        <v>1</v>
      </c>
      <c r="J1277">
        <f>+IF(Tabla__192.168.1.8_POSEIDONSQL_APPFVT_01_SQLFacturasRendidas[[#This Row],[usu_codigo]]="","",1)</f>
        <v>1</v>
      </c>
    </row>
    <row r="1278" spans="1:10" x14ac:dyDescent="0.25">
      <c r="A1278">
        <v>1</v>
      </c>
      <c r="B1278">
        <v>3</v>
      </c>
      <c r="C1278" t="s">
        <v>81</v>
      </c>
      <c r="D1278" t="s">
        <v>15</v>
      </c>
      <c r="E1278" t="s">
        <v>65</v>
      </c>
      <c r="F1278">
        <v>90954</v>
      </c>
      <c r="G1278">
        <f>+YEAR(Tabla__192.168.1.8_POSEIDONSQL_APPFVT_01_SQLFacturasRendidas[[#This Row],[f_facturacion]])</f>
        <v>2018</v>
      </c>
      <c r="H127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78">
        <f>+IF(Tabla__192.168.1.8_POSEIDONSQL_APPFVT_01_SQLFacturasRendidas[[#This Row],[epc_nombre]]="RENDIDA",1,0)</f>
        <v>1</v>
      </c>
      <c r="J1278">
        <f>+IF(Tabla__192.168.1.8_POSEIDONSQL_APPFVT_01_SQLFacturasRendidas[[#This Row],[usu_codigo]]="","",1)</f>
        <v>1</v>
      </c>
    </row>
    <row r="1279" spans="1:10" x14ac:dyDescent="0.25">
      <c r="A1279">
        <v>1</v>
      </c>
      <c r="B1279">
        <v>3</v>
      </c>
      <c r="C1279" t="s">
        <v>81</v>
      </c>
      <c r="D1279" t="s">
        <v>15</v>
      </c>
      <c r="E1279" t="s">
        <v>65</v>
      </c>
      <c r="F1279">
        <v>90955</v>
      </c>
      <c r="G1279">
        <f>+YEAR(Tabla__192.168.1.8_POSEIDONSQL_APPFVT_01_SQLFacturasRendidas[[#This Row],[f_facturacion]])</f>
        <v>2018</v>
      </c>
      <c r="H127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79">
        <f>+IF(Tabla__192.168.1.8_POSEIDONSQL_APPFVT_01_SQLFacturasRendidas[[#This Row],[epc_nombre]]="RENDIDA",1,0)</f>
        <v>1</v>
      </c>
      <c r="J1279">
        <f>+IF(Tabla__192.168.1.8_POSEIDONSQL_APPFVT_01_SQLFacturasRendidas[[#This Row],[usu_codigo]]="","",1)</f>
        <v>1</v>
      </c>
    </row>
    <row r="1280" spans="1:10" x14ac:dyDescent="0.25">
      <c r="A1280">
        <v>1</v>
      </c>
      <c r="B1280">
        <v>3</v>
      </c>
      <c r="C1280" t="s">
        <v>81</v>
      </c>
      <c r="D1280" t="s">
        <v>15</v>
      </c>
      <c r="E1280" t="s">
        <v>65</v>
      </c>
      <c r="F1280">
        <v>90956</v>
      </c>
      <c r="G1280">
        <f>+YEAR(Tabla__192.168.1.8_POSEIDONSQL_APPFVT_01_SQLFacturasRendidas[[#This Row],[f_facturacion]])</f>
        <v>2018</v>
      </c>
      <c r="H128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80">
        <f>+IF(Tabla__192.168.1.8_POSEIDONSQL_APPFVT_01_SQLFacturasRendidas[[#This Row],[epc_nombre]]="RENDIDA",1,0)</f>
        <v>1</v>
      </c>
      <c r="J1280">
        <f>+IF(Tabla__192.168.1.8_POSEIDONSQL_APPFVT_01_SQLFacturasRendidas[[#This Row],[usu_codigo]]="","",1)</f>
        <v>1</v>
      </c>
    </row>
    <row r="1281" spans="1:10" x14ac:dyDescent="0.25">
      <c r="A1281">
        <v>1</v>
      </c>
      <c r="B1281">
        <v>3</v>
      </c>
      <c r="C1281" t="s">
        <v>81</v>
      </c>
      <c r="D1281" t="s">
        <v>15</v>
      </c>
      <c r="E1281" t="s">
        <v>65</v>
      </c>
      <c r="F1281">
        <v>90957</v>
      </c>
      <c r="G1281">
        <f>+YEAR(Tabla__192.168.1.8_POSEIDONSQL_APPFVT_01_SQLFacturasRendidas[[#This Row],[f_facturacion]])</f>
        <v>2018</v>
      </c>
      <c r="H128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81">
        <f>+IF(Tabla__192.168.1.8_POSEIDONSQL_APPFVT_01_SQLFacturasRendidas[[#This Row],[epc_nombre]]="RENDIDA",1,0)</f>
        <v>1</v>
      </c>
      <c r="J1281">
        <f>+IF(Tabla__192.168.1.8_POSEIDONSQL_APPFVT_01_SQLFacturasRendidas[[#This Row],[usu_codigo]]="","",1)</f>
        <v>1</v>
      </c>
    </row>
    <row r="1282" spans="1:10" x14ac:dyDescent="0.25">
      <c r="A1282">
        <v>1</v>
      </c>
      <c r="B1282">
        <v>3</v>
      </c>
      <c r="C1282" t="s">
        <v>81</v>
      </c>
      <c r="D1282" t="s">
        <v>15</v>
      </c>
      <c r="E1282" t="s">
        <v>42</v>
      </c>
      <c r="F1282">
        <v>91068</v>
      </c>
      <c r="G1282">
        <f>+YEAR(Tabla__192.168.1.8_POSEIDONSQL_APPFVT_01_SQLFacturasRendidas[[#This Row],[f_facturacion]])</f>
        <v>2018</v>
      </c>
      <c r="H128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82">
        <f>+IF(Tabla__192.168.1.8_POSEIDONSQL_APPFVT_01_SQLFacturasRendidas[[#This Row],[epc_nombre]]="RENDIDA",1,0)</f>
        <v>1</v>
      </c>
      <c r="J1282">
        <f>+IF(Tabla__192.168.1.8_POSEIDONSQL_APPFVT_01_SQLFacturasRendidas[[#This Row],[usu_codigo]]="","",1)</f>
        <v>1</v>
      </c>
    </row>
    <row r="1283" spans="1:10" x14ac:dyDescent="0.25">
      <c r="A1283">
        <v>1</v>
      </c>
      <c r="B1283">
        <v>3</v>
      </c>
      <c r="C1283" t="s">
        <v>81</v>
      </c>
      <c r="D1283" t="s">
        <v>15</v>
      </c>
      <c r="E1283" t="s">
        <v>42</v>
      </c>
      <c r="F1283">
        <v>91069</v>
      </c>
      <c r="G1283">
        <f>+YEAR(Tabla__192.168.1.8_POSEIDONSQL_APPFVT_01_SQLFacturasRendidas[[#This Row],[f_facturacion]])</f>
        <v>2018</v>
      </c>
      <c r="H128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83">
        <f>+IF(Tabla__192.168.1.8_POSEIDONSQL_APPFVT_01_SQLFacturasRendidas[[#This Row],[epc_nombre]]="RENDIDA",1,0)</f>
        <v>1</v>
      </c>
      <c r="J1283">
        <f>+IF(Tabla__192.168.1.8_POSEIDONSQL_APPFVT_01_SQLFacturasRendidas[[#This Row],[usu_codigo]]="","",1)</f>
        <v>1</v>
      </c>
    </row>
    <row r="1284" spans="1:10" x14ac:dyDescent="0.25">
      <c r="A1284">
        <v>1</v>
      </c>
      <c r="B1284">
        <v>3</v>
      </c>
      <c r="C1284" t="s">
        <v>81</v>
      </c>
      <c r="D1284" t="s">
        <v>15</v>
      </c>
      <c r="E1284" t="s">
        <v>42</v>
      </c>
      <c r="F1284">
        <v>91070</v>
      </c>
      <c r="G1284">
        <f>+YEAR(Tabla__192.168.1.8_POSEIDONSQL_APPFVT_01_SQLFacturasRendidas[[#This Row],[f_facturacion]])</f>
        <v>2018</v>
      </c>
      <c r="H128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84">
        <f>+IF(Tabla__192.168.1.8_POSEIDONSQL_APPFVT_01_SQLFacturasRendidas[[#This Row],[epc_nombre]]="RENDIDA",1,0)</f>
        <v>1</v>
      </c>
      <c r="J1284">
        <f>+IF(Tabla__192.168.1.8_POSEIDONSQL_APPFVT_01_SQLFacturasRendidas[[#This Row],[usu_codigo]]="","",1)</f>
        <v>1</v>
      </c>
    </row>
    <row r="1285" spans="1:10" x14ac:dyDescent="0.25">
      <c r="A1285">
        <v>1</v>
      </c>
      <c r="B1285">
        <v>3</v>
      </c>
      <c r="C1285" t="s">
        <v>81</v>
      </c>
      <c r="D1285" t="s">
        <v>15</v>
      </c>
      <c r="E1285" t="s">
        <v>42</v>
      </c>
      <c r="F1285">
        <v>91071</v>
      </c>
      <c r="G1285">
        <f>+YEAR(Tabla__192.168.1.8_POSEIDONSQL_APPFVT_01_SQLFacturasRendidas[[#This Row],[f_facturacion]])</f>
        <v>2018</v>
      </c>
      <c r="H128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85">
        <f>+IF(Tabla__192.168.1.8_POSEIDONSQL_APPFVT_01_SQLFacturasRendidas[[#This Row],[epc_nombre]]="RENDIDA",1,0)</f>
        <v>1</v>
      </c>
      <c r="J1285">
        <f>+IF(Tabla__192.168.1.8_POSEIDONSQL_APPFVT_01_SQLFacturasRendidas[[#This Row],[usu_codigo]]="","",1)</f>
        <v>1</v>
      </c>
    </row>
    <row r="1286" spans="1:10" x14ac:dyDescent="0.25">
      <c r="A1286">
        <v>1</v>
      </c>
      <c r="B1286">
        <v>3</v>
      </c>
      <c r="C1286" t="s">
        <v>81</v>
      </c>
      <c r="D1286" t="s">
        <v>15</v>
      </c>
      <c r="E1286" t="s">
        <v>42</v>
      </c>
      <c r="F1286">
        <v>91072</v>
      </c>
      <c r="G1286">
        <f>+YEAR(Tabla__192.168.1.8_POSEIDONSQL_APPFVT_01_SQLFacturasRendidas[[#This Row],[f_facturacion]])</f>
        <v>2018</v>
      </c>
      <c r="H128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86">
        <f>+IF(Tabla__192.168.1.8_POSEIDONSQL_APPFVT_01_SQLFacturasRendidas[[#This Row],[epc_nombre]]="RENDIDA",1,0)</f>
        <v>1</v>
      </c>
      <c r="J1286">
        <f>+IF(Tabla__192.168.1.8_POSEIDONSQL_APPFVT_01_SQLFacturasRendidas[[#This Row],[usu_codigo]]="","",1)</f>
        <v>1</v>
      </c>
    </row>
    <row r="1287" spans="1:10" x14ac:dyDescent="0.25">
      <c r="A1287">
        <v>1</v>
      </c>
      <c r="B1287">
        <v>3</v>
      </c>
      <c r="C1287" t="s">
        <v>81</v>
      </c>
      <c r="D1287" t="s">
        <v>15</v>
      </c>
      <c r="E1287" t="s">
        <v>42</v>
      </c>
      <c r="F1287">
        <v>91073</v>
      </c>
      <c r="G1287">
        <f>+YEAR(Tabla__192.168.1.8_POSEIDONSQL_APPFVT_01_SQLFacturasRendidas[[#This Row],[f_facturacion]])</f>
        <v>2018</v>
      </c>
      <c r="H128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87">
        <f>+IF(Tabla__192.168.1.8_POSEIDONSQL_APPFVT_01_SQLFacturasRendidas[[#This Row],[epc_nombre]]="RENDIDA",1,0)</f>
        <v>1</v>
      </c>
      <c r="J1287">
        <f>+IF(Tabla__192.168.1.8_POSEIDONSQL_APPFVT_01_SQLFacturasRendidas[[#This Row],[usu_codigo]]="","",1)</f>
        <v>1</v>
      </c>
    </row>
    <row r="1288" spans="1:10" x14ac:dyDescent="0.25">
      <c r="A1288">
        <v>1</v>
      </c>
      <c r="B1288">
        <v>3</v>
      </c>
      <c r="C1288" t="s">
        <v>81</v>
      </c>
      <c r="D1288" t="s">
        <v>15</v>
      </c>
      <c r="E1288" t="s">
        <v>42</v>
      </c>
      <c r="F1288">
        <v>91074</v>
      </c>
      <c r="G1288">
        <f>+YEAR(Tabla__192.168.1.8_POSEIDONSQL_APPFVT_01_SQLFacturasRendidas[[#This Row],[f_facturacion]])</f>
        <v>2018</v>
      </c>
      <c r="H128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88">
        <f>+IF(Tabla__192.168.1.8_POSEIDONSQL_APPFVT_01_SQLFacturasRendidas[[#This Row],[epc_nombre]]="RENDIDA",1,0)</f>
        <v>1</v>
      </c>
      <c r="J1288">
        <f>+IF(Tabla__192.168.1.8_POSEIDONSQL_APPFVT_01_SQLFacturasRendidas[[#This Row],[usu_codigo]]="","",1)</f>
        <v>1</v>
      </c>
    </row>
    <row r="1289" spans="1:10" x14ac:dyDescent="0.25">
      <c r="A1289">
        <v>1</v>
      </c>
      <c r="B1289">
        <v>3</v>
      </c>
      <c r="C1289" t="s">
        <v>81</v>
      </c>
      <c r="D1289" t="s">
        <v>15</v>
      </c>
      <c r="E1289" t="s">
        <v>42</v>
      </c>
      <c r="F1289">
        <v>91075</v>
      </c>
      <c r="G1289">
        <f>+YEAR(Tabla__192.168.1.8_POSEIDONSQL_APPFVT_01_SQLFacturasRendidas[[#This Row],[f_facturacion]])</f>
        <v>2018</v>
      </c>
      <c r="H128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89">
        <f>+IF(Tabla__192.168.1.8_POSEIDONSQL_APPFVT_01_SQLFacturasRendidas[[#This Row],[epc_nombre]]="RENDIDA",1,0)</f>
        <v>1</v>
      </c>
      <c r="J1289">
        <f>+IF(Tabla__192.168.1.8_POSEIDONSQL_APPFVT_01_SQLFacturasRendidas[[#This Row],[usu_codigo]]="","",1)</f>
        <v>1</v>
      </c>
    </row>
    <row r="1290" spans="1:10" x14ac:dyDescent="0.25">
      <c r="A1290">
        <v>1</v>
      </c>
      <c r="B1290">
        <v>3</v>
      </c>
      <c r="C1290" t="s">
        <v>11</v>
      </c>
      <c r="D1290" t="s">
        <v>15</v>
      </c>
      <c r="E1290" t="s">
        <v>39</v>
      </c>
      <c r="F1290">
        <v>3332</v>
      </c>
      <c r="G1290">
        <f>+YEAR(Tabla__192.168.1.8_POSEIDONSQL_APPFVT_01_SQLFacturasRendidas[[#This Row],[f_facturacion]])</f>
        <v>2018</v>
      </c>
      <c r="H129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90">
        <f>+IF(Tabla__192.168.1.8_POSEIDONSQL_APPFVT_01_SQLFacturasRendidas[[#This Row],[epc_nombre]]="RENDIDA",1,0)</f>
        <v>1</v>
      </c>
      <c r="J1290">
        <f>+IF(Tabla__192.168.1.8_POSEIDONSQL_APPFVT_01_SQLFacturasRendidas[[#This Row],[usu_codigo]]="","",1)</f>
        <v>1</v>
      </c>
    </row>
    <row r="1291" spans="1:10" x14ac:dyDescent="0.25">
      <c r="A1291">
        <v>1</v>
      </c>
      <c r="B1291">
        <v>3</v>
      </c>
      <c r="C1291" t="s">
        <v>11</v>
      </c>
      <c r="D1291" t="s">
        <v>15</v>
      </c>
      <c r="E1291" t="s">
        <v>39</v>
      </c>
      <c r="F1291">
        <v>3333</v>
      </c>
      <c r="G1291">
        <f>+YEAR(Tabla__192.168.1.8_POSEIDONSQL_APPFVT_01_SQLFacturasRendidas[[#This Row],[f_facturacion]])</f>
        <v>2018</v>
      </c>
      <c r="H129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91">
        <f>+IF(Tabla__192.168.1.8_POSEIDONSQL_APPFVT_01_SQLFacturasRendidas[[#This Row],[epc_nombre]]="RENDIDA",1,0)</f>
        <v>1</v>
      </c>
      <c r="J1291">
        <f>+IF(Tabla__192.168.1.8_POSEIDONSQL_APPFVT_01_SQLFacturasRendidas[[#This Row],[usu_codigo]]="","",1)</f>
        <v>1</v>
      </c>
    </row>
    <row r="1292" spans="1:10" x14ac:dyDescent="0.25">
      <c r="A1292">
        <v>1</v>
      </c>
      <c r="B1292">
        <v>3</v>
      </c>
      <c r="C1292" t="s">
        <v>11</v>
      </c>
      <c r="D1292" t="s">
        <v>15</v>
      </c>
      <c r="E1292" t="s">
        <v>39</v>
      </c>
      <c r="F1292">
        <v>3334</v>
      </c>
      <c r="G1292">
        <f>+YEAR(Tabla__192.168.1.8_POSEIDONSQL_APPFVT_01_SQLFacturasRendidas[[#This Row],[f_facturacion]])</f>
        <v>2018</v>
      </c>
      <c r="H129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92">
        <f>+IF(Tabla__192.168.1.8_POSEIDONSQL_APPFVT_01_SQLFacturasRendidas[[#This Row],[epc_nombre]]="RENDIDA",1,0)</f>
        <v>1</v>
      </c>
      <c r="J1292">
        <f>+IF(Tabla__192.168.1.8_POSEIDONSQL_APPFVT_01_SQLFacturasRendidas[[#This Row],[usu_codigo]]="","",1)</f>
        <v>1</v>
      </c>
    </row>
    <row r="1293" spans="1:10" x14ac:dyDescent="0.25">
      <c r="A1293">
        <v>1</v>
      </c>
      <c r="B1293">
        <v>3</v>
      </c>
      <c r="C1293" t="s">
        <v>11</v>
      </c>
      <c r="D1293" t="s">
        <v>15</v>
      </c>
      <c r="E1293" t="s">
        <v>39</v>
      </c>
      <c r="F1293">
        <v>3335</v>
      </c>
      <c r="G1293">
        <f>+YEAR(Tabla__192.168.1.8_POSEIDONSQL_APPFVT_01_SQLFacturasRendidas[[#This Row],[f_facturacion]])</f>
        <v>2018</v>
      </c>
      <c r="H129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93">
        <f>+IF(Tabla__192.168.1.8_POSEIDONSQL_APPFVT_01_SQLFacturasRendidas[[#This Row],[epc_nombre]]="RENDIDA",1,0)</f>
        <v>1</v>
      </c>
      <c r="J1293">
        <f>+IF(Tabla__192.168.1.8_POSEIDONSQL_APPFVT_01_SQLFacturasRendidas[[#This Row],[usu_codigo]]="","",1)</f>
        <v>1</v>
      </c>
    </row>
    <row r="1294" spans="1:10" x14ac:dyDescent="0.25">
      <c r="A1294">
        <v>1</v>
      </c>
      <c r="B1294">
        <v>3</v>
      </c>
      <c r="C1294" t="s">
        <v>11</v>
      </c>
      <c r="D1294" t="s">
        <v>15</v>
      </c>
      <c r="E1294" t="s">
        <v>39</v>
      </c>
      <c r="F1294">
        <v>3336</v>
      </c>
      <c r="G1294">
        <f>+YEAR(Tabla__192.168.1.8_POSEIDONSQL_APPFVT_01_SQLFacturasRendidas[[#This Row],[f_facturacion]])</f>
        <v>2018</v>
      </c>
      <c r="H129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94">
        <f>+IF(Tabla__192.168.1.8_POSEIDONSQL_APPFVT_01_SQLFacturasRendidas[[#This Row],[epc_nombre]]="RENDIDA",1,0)</f>
        <v>1</v>
      </c>
      <c r="J1294">
        <f>+IF(Tabla__192.168.1.8_POSEIDONSQL_APPFVT_01_SQLFacturasRendidas[[#This Row],[usu_codigo]]="","",1)</f>
        <v>1</v>
      </c>
    </row>
    <row r="1295" spans="1:10" x14ac:dyDescent="0.25">
      <c r="A1295">
        <v>1</v>
      </c>
      <c r="B1295">
        <v>3</v>
      </c>
      <c r="C1295" t="s">
        <v>11</v>
      </c>
      <c r="D1295" t="s">
        <v>15</v>
      </c>
      <c r="E1295" t="s">
        <v>39</v>
      </c>
      <c r="F1295">
        <v>3337</v>
      </c>
      <c r="G1295">
        <f>+YEAR(Tabla__192.168.1.8_POSEIDONSQL_APPFVT_01_SQLFacturasRendidas[[#This Row],[f_facturacion]])</f>
        <v>2018</v>
      </c>
      <c r="H129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95">
        <f>+IF(Tabla__192.168.1.8_POSEIDONSQL_APPFVT_01_SQLFacturasRendidas[[#This Row],[epc_nombre]]="RENDIDA",1,0)</f>
        <v>1</v>
      </c>
      <c r="J1295">
        <f>+IF(Tabla__192.168.1.8_POSEIDONSQL_APPFVT_01_SQLFacturasRendidas[[#This Row],[usu_codigo]]="","",1)</f>
        <v>1</v>
      </c>
    </row>
    <row r="1296" spans="1:10" x14ac:dyDescent="0.25">
      <c r="A1296">
        <v>1</v>
      </c>
      <c r="B1296">
        <v>3</v>
      </c>
      <c r="C1296" t="s">
        <v>11</v>
      </c>
      <c r="D1296" t="s">
        <v>15</v>
      </c>
      <c r="E1296" t="s">
        <v>39</v>
      </c>
      <c r="F1296">
        <v>3338</v>
      </c>
      <c r="G1296">
        <f>+YEAR(Tabla__192.168.1.8_POSEIDONSQL_APPFVT_01_SQLFacturasRendidas[[#This Row],[f_facturacion]])</f>
        <v>2018</v>
      </c>
      <c r="H129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96">
        <f>+IF(Tabla__192.168.1.8_POSEIDONSQL_APPFVT_01_SQLFacturasRendidas[[#This Row],[epc_nombre]]="RENDIDA",1,0)</f>
        <v>1</v>
      </c>
      <c r="J1296">
        <f>+IF(Tabla__192.168.1.8_POSEIDONSQL_APPFVT_01_SQLFacturasRendidas[[#This Row],[usu_codigo]]="","",1)</f>
        <v>1</v>
      </c>
    </row>
    <row r="1297" spans="1:10" x14ac:dyDescent="0.25">
      <c r="A1297">
        <v>1</v>
      </c>
      <c r="B1297">
        <v>3</v>
      </c>
      <c r="C1297" t="s">
        <v>11</v>
      </c>
      <c r="D1297" t="s">
        <v>15</v>
      </c>
      <c r="E1297" t="s">
        <v>39</v>
      </c>
      <c r="F1297">
        <v>3339</v>
      </c>
      <c r="G1297">
        <f>+YEAR(Tabla__192.168.1.8_POSEIDONSQL_APPFVT_01_SQLFacturasRendidas[[#This Row],[f_facturacion]])</f>
        <v>2018</v>
      </c>
      <c r="H129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97">
        <f>+IF(Tabla__192.168.1.8_POSEIDONSQL_APPFVT_01_SQLFacturasRendidas[[#This Row],[epc_nombre]]="RENDIDA",1,0)</f>
        <v>1</v>
      </c>
      <c r="J1297">
        <f>+IF(Tabla__192.168.1.8_POSEIDONSQL_APPFVT_01_SQLFacturasRendidas[[#This Row],[usu_codigo]]="","",1)</f>
        <v>1</v>
      </c>
    </row>
    <row r="1298" spans="1:10" x14ac:dyDescent="0.25">
      <c r="A1298">
        <v>1</v>
      </c>
      <c r="B1298">
        <v>3</v>
      </c>
      <c r="C1298" t="s">
        <v>11</v>
      </c>
      <c r="D1298" t="s">
        <v>15</v>
      </c>
      <c r="E1298" t="s">
        <v>39</v>
      </c>
      <c r="F1298">
        <v>3340</v>
      </c>
      <c r="G1298">
        <f>+YEAR(Tabla__192.168.1.8_POSEIDONSQL_APPFVT_01_SQLFacturasRendidas[[#This Row],[f_facturacion]])</f>
        <v>2018</v>
      </c>
      <c r="H129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98">
        <f>+IF(Tabla__192.168.1.8_POSEIDONSQL_APPFVT_01_SQLFacturasRendidas[[#This Row],[epc_nombre]]="RENDIDA",1,0)</f>
        <v>1</v>
      </c>
      <c r="J1298">
        <f>+IF(Tabla__192.168.1.8_POSEIDONSQL_APPFVT_01_SQLFacturasRendidas[[#This Row],[usu_codigo]]="","",1)</f>
        <v>1</v>
      </c>
    </row>
    <row r="1299" spans="1:10" x14ac:dyDescent="0.25">
      <c r="A1299">
        <v>1</v>
      </c>
      <c r="B1299">
        <v>3</v>
      </c>
      <c r="C1299" t="s">
        <v>11</v>
      </c>
      <c r="D1299" t="s">
        <v>15</v>
      </c>
      <c r="E1299" t="s">
        <v>39</v>
      </c>
      <c r="F1299">
        <v>3341</v>
      </c>
      <c r="G1299">
        <f>+YEAR(Tabla__192.168.1.8_POSEIDONSQL_APPFVT_01_SQLFacturasRendidas[[#This Row],[f_facturacion]])</f>
        <v>2018</v>
      </c>
      <c r="H129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299">
        <f>+IF(Tabla__192.168.1.8_POSEIDONSQL_APPFVT_01_SQLFacturasRendidas[[#This Row],[epc_nombre]]="RENDIDA",1,0)</f>
        <v>1</v>
      </c>
      <c r="J1299">
        <f>+IF(Tabla__192.168.1.8_POSEIDONSQL_APPFVT_01_SQLFacturasRendidas[[#This Row],[usu_codigo]]="","",1)</f>
        <v>1</v>
      </c>
    </row>
    <row r="1300" spans="1:10" x14ac:dyDescent="0.25">
      <c r="A1300">
        <v>1</v>
      </c>
      <c r="B1300">
        <v>3</v>
      </c>
      <c r="C1300" t="s">
        <v>11</v>
      </c>
      <c r="D1300" t="s">
        <v>15</v>
      </c>
      <c r="E1300" t="s">
        <v>39</v>
      </c>
      <c r="F1300">
        <v>3342</v>
      </c>
      <c r="G1300">
        <f>+YEAR(Tabla__192.168.1.8_POSEIDONSQL_APPFVT_01_SQLFacturasRendidas[[#This Row],[f_facturacion]])</f>
        <v>2018</v>
      </c>
      <c r="H130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00">
        <f>+IF(Tabla__192.168.1.8_POSEIDONSQL_APPFVT_01_SQLFacturasRendidas[[#This Row],[epc_nombre]]="RENDIDA",1,0)</f>
        <v>1</v>
      </c>
      <c r="J1300">
        <f>+IF(Tabla__192.168.1.8_POSEIDONSQL_APPFVT_01_SQLFacturasRendidas[[#This Row],[usu_codigo]]="","",1)</f>
        <v>1</v>
      </c>
    </row>
    <row r="1301" spans="1:10" x14ac:dyDescent="0.25">
      <c r="A1301">
        <v>1</v>
      </c>
      <c r="B1301">
        <v>3</v>
      </c>
      <c r="C1301" t="s">
        <v>11</v>
      </c>
      <c r="D1301" t="s">
        <v>15</v>
      </c>
      <c r="E1301" t="s">
        <v>39</v>
      </c>
      <c r="F1301">
        <v>3343</v>
      </c>
      <c r="G1301">
        <f>+YEAR(Tabla__192.168.1.8_POSEIDONSQL_APPFVT_01_SQLFacturasRendidas[[#This Row],[f_facturacion]])</f>
        <v>2018</v>
      </c>
      <c r="H130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01">
        <f>+IF(Tabla__192.168.1.8_POSEIDONSQL_APPFVT_01_SQLFacturasRendidas[[#This Row],[epc_nombre]]="RENDIDA",1,0)</f>
        <v>1</v>
      </c>
      <c r="J1301">
        <f>+IF(Tabla__192.168.1.8_POSEIDONSQL_APPFVT_01_SQLFacturasRendidas[[#This Row],[usu_codigo]]="","",1)</f>
        <v>1</v>
      </c>
    </row>
    <row r="1302" spans="1:10" x14ac:dyDescent="0.25">
      <c r="A1302">
        <v>1</v>
      </c>
      <c r="B1302">
        <v>3</v>
      </c>
      <c r="C1302" t="s">
        <v>11</v>
      </c>
      <c r="D1302" t="s">
        <v>15</v>
      </c>
      <c r="E1302" t="s">
        <v>39</v>
      </c>
      <c r="F1302">
        <v>3344</v>
      </c>
      <c r="G1302">
        <f>+YEAR(Tabla__192.168.1.8_POSEIDONSQL_APPFVT_01_SQLFacturasRendidas[[#This Row],[f_facturacion]])</f>
        <v>2018</v>
      </c>
      <c r="H130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02">
        <f>+IF(Tabla__192.168.1.8_POSEIDONSQL_APPFVT_01_SQLFacturasRendidas[[#This Row],[epc_nombre]]="RENDIDA",1,0)</f>
        <v>1</v>
      </c>
      <c r="J1302">
        <f>+IF(Tabla__192.168.1.8_POSEIDONSQL_APPFVT_01_SQLFacturasRendidas[[#This Row],[usu_codigo]]="","",1)</f>
        <v>1</v>
      </c>
    </row>
    <row r="1303" spans="1:10" x14ac:dyDescent="0.25">
      <c r="A1303">
        <v>1</v>
      </c>
      <c r="B1303">
        <v>3</v>
      </c>
      <c r="C1303" t="s">
        <v>11</v>
      </c>
      <c r="D1303" t="s">
        <v>15</v>
      </c>
      <c r="E1303" t="s">
        <v>39</v>
      </c>
      <c r="F1303">
        <v>3345</v>
      </c>
      <c r="G1303">
        <f>+YEAR(Tabla__192.168.1.8_POSEIDONSQL_APPFVT_01_SQLFacturasRendidas[[#This Row],[f_facturacion]])</f>
        <v>2018</v>
      </c>
      <c r="H130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03">
        <f>+IF(Tabla__192.168.1.8_POSEIDONSQL_APPFVT_01_SQLFacturasRendidas[[#This Row],[epc_nombre]]="RENDIDA",1,0)</f>
        <v>1</v>
      </c>
      <c r="J1303">
        <f>+IF(Tabla__192.168.1.8_POSEIDONSQL_APPFVT_01_SQLFacturasRendidas[[#This Row],[usu_codigo]]="","",1)</f>
        <v>1</v>
      </c>
    </row>
    <row r="1304" spans="1:10" x14ac:dyDescent="0.25">
      <c r="A1304">
        <v>1</v>
      </c>
      <c r="B1304">
        <v>3</v>
      </c>
      <c r="C1304" t="s">
        <v>11</v>
      </c>
      <c r="D1304" t="s">
        <v>15</v>
      </c>
      <c r="E1304" t="s">
        <v>39</v>
      </c>
      <c r="F1304">
        <v>3346</v>
      </c>
      <c r="G1304">
        <f>+YEAR(Tabla__192.168.1.8_POSEIDONSQL_APPFVT_01_SQLFacturasRendidas[[#This Row],[f_facturacion]])</f>
        <v>2018</v>
      </c>
      <c r="H130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04">
        <f>+IF(Tabla__192.168.1.8_POSEIDONSQL_APPFVT_01_SQLFacturasRendidas[[#This Row],[epc_nombre]]="RENDIDA",1,0)</f>
        <v>1</v>
      </c>
      <c r="J1304">
        <f>+IF(Tabla__192.168.1.8_POSEIDONSQL_APPFVT_01_SQLFacturasRendidas[[#This Row],[usu_codigo]]="","",1)</f>
        <v>1</v>
      </c>
    </row>
    <row r="1305" spans="1:10" x14ac:dyDescent="0.25">
      <c r="A1305">
        <v>1</v>
      </c>
      <c r="B1305">
        <v>3</v>
      </c>
      <c r="C1305" t="s">
        <v>11</v>
      </c>
      <c r="D1305" t="s">
        <v>15</v>
      </c>
      <c r="E1305" t="s">
        <v>39</v>
      </c>
      <c r="F1305">
        <v>3347</v>
      </c>
      <c r="G1305">
        <f>+YEAR(Tabla__192.168.1.8_POSEIDONSQL_APPFVT_01_SQLFacturasRendidas[[#This Row],[f_facturacion]])</f>
        <v>2018</v>
      </c>
      <c r="H130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05">
        <f>+IF(Tabla__192.168.1.8_POSEIDONSQL_APPFVT_01_SQLFacturasRendidas[[#This Row],[epc_nombre]]="RENDIDA",1,0)</f>
        <v>1</v>
      </c>
      <c r="J1305">
        <f>+IF(Tabla__192.168.1.8_POSEIDONSQL_APPFVT_01_SQLFacturasRendidas[[#This Row],[usu_codigo]]="","",1)</f>
        <v>1</v>
      </c>
    </row>
    <row r="1306" spans="1:10" x14ac:dyDescent="0.25">
      <c r="A1306">
        <v>1</v>
      </c>
      <c r="B1306">
        <v>3</v>
      </c>
      <c r="C1306" t="s">
        <v>11</v>
      </c>
      <c r="D1306" t="s">
        <v>15</v>
      </c>
      <c r="E1306" t="s">
        <v>39</v>
      </c>
      <c r="F1306">
        <v>3348</v>
      </c>
      <c r="G1306">
        <f>+YEAR(Tabla__192.168.1.8_POSEIDONSQL_APPFVT_01_SQLFacturasRendidas[[#This Row],[f_facturacion]])</f>
        <v>2018</v>
      </c>
      <c r="H130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06">
        <f>+IF(Tabla__192.168.1.8_POSEIDONSQL_APPFVT_01_SQLFacturasRendidas[[#This Row],[epc_nombre]]="RENDIDA",1,0)</f>
        <v>1</v>
      </c>
      <c r="J1306">
        <f>+IF(Tabla__192.168.1.8_POSEIDONSQL_APPFVT_01_SQLFacturasRendidas[[#This Row],[usu_codigo]]="","",1)</f>
        <v>1</v>
      </c>
    </row>
    <row r="1307" spans="1:10" x14ac:dyDescent="0.25">
      <c r="A1307">
        <v>1</v>
      </c>
      <c r="B1307">
        <v>3</v>
      </c>
      <c r="C1307" t="s">
        <v>11</v>
      </c>
      <c r="D1307" t="s">
        <v>15</v>
      </c>
      <c r="E1307" t="s">
        <v>39</v>
      </c>
      <c r="F1307">
        <v>3349</v>
      </c>
      <c r="G1307">
        <f>+YEAR(Tabla__192.168.1.8_POSEIDONSQL_APPFVT_01_SQLFacturasRendidas[[#This Row],[f_facturacion]])</f>
        <v>2018</v>
      </c>
      <c r="H130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07">
        <f>+IF(Tabla__192.168.1.8_POSEIDONSQL_APPFVT_01_SQLFacturasRendidas[[#This Row],[epc_nombre]]="RENDIDA",1,0)</f>
        <v>1</v>
      </c>
      <c r="J1307">
        <f>+IF(Tabla__192.168.1.8_POSEIDONSQL_APPFVT_01_SQLFacturasRendidas[[#This Row],[usu_codigo]]="","",1)</f>
        <v>1</v>
      </c>
    </row>
    <row r="1308" spans="1:10" x14ac:dyDescent="0.25">
      <c r="A1308">
        <v>1</v>
      </c>
      <c r="B1308">
        <v>3</v>
      </c>
      <c r="C1308" t="s">
        <v>11</v>
      </c>
      <c r="D1308" t="s">
        <v>15</v>
      </c>
      <c r="E1308" t="s">
        <v>39</v>
      </c>
      <c r="F1308">
        <v>3350</v>
      </c>
      <c r="G1308">
        <f>+YEAR(Tabla__192.168.1.8_POSEIDONSQL_APPFVT_01_SQLFacturasRendidas[[#This Row],[f_facturacion]])</f>
        <v>2018</v>
      </c>
      <c r="H130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08">
        <f>+IF(Tabla__192.168.1.8_POSEIDONSQL_APPFVT_01_SQLFacturasRendidas[[#This Row],[epc_nombre]]="RENDIDA",1,0)</f>
        <v>1</v>
      </c>
      <c r="J1308">
        <f>+IF(Tabla__192.168.1.8_POSEIDONSQL_APPFVT_01_SQLFacturasRendidas[[#This Row],[usu_codigo]]="","",1)</f>
        <v>1</v>
      </c>
    </row>
    <row r="1309" spans="1:10" x14ac:dyDescent="0.25">
      <c r="A1309">
        <v>1</v>
      </c>
      <c r="B1309">
        <v>3</v>
      </c>
      <c r="C1309" t="s">
        <v>11</v>
      </c>
      <c r="D1309" t="s">
        <v>15</v>
      </c>
      <c r="E1309" t="s">
        <v>39</v>
      </c>
      <c r="F1309">
        <v>3351</v>
      </c>
      <c r="G1309">
        <f>+YEAR(Tabla__192.168.1.8_POSEIDONSQL_APPFVT_01_SQLFacturasRendidas[[#This Row],[f_facturacion]])</f>
        <v>2018</v>
      </c>
      <c r="H130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09">
        <f>+IF(Tabla__192.168.1.8_POSEIDONSQL_APPFVT_01_SQLFacturasRendidas[[#This Row],[epc_nombre]]="RENDIDA",1,0)</f>
        <v>1</v>
      </c>
      <c r="J1309">
        <f>+IF(Tabla__192.168.1.8_POSEIDONSQL_APPFVT_01_SQLFacturasRendidas[[#This Row],[usu_codigo]]="","",1)</f>
        <v>1</v>
      </c>
    </row>
    <row r="1310" spans="1:10" x14ac:dyDescent="0.25">
      <c r="A1310">
        <v>1</v>
      </c>
      <c r="B1310">
        <v>3</v>
      </c>
      <c r="C1310" t="s">
        <v>11</v>
      </c>
      <c r="D1310" t="s">
        <v>15</v>
      </c>
      <c r="E1310" t="s">
        <v>39</v>
      </c>
      <c r="F1310">
        <v>3352</v>
      </c>
      <c r="G1310">
        <f>+YEAR(Tabla__192.168.1.8_POSEIDONSQL_APPFVT_01_SQLFacturasRendidas[[#This Row],[f_facturacion]])</f>
        <v>2018</v>
      </c>
      <c r="H131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10">
        <f>+IF(Tabla__192.168.1.8_POSEIDONSQL_APPFVT_01_SQLFacturasRendidas[[#This Row],[epc_nombre]]="RENDIDA",1,0)</f>
        <v>1</v>
      </c>
      <c r="J1310">
        <f>+IF(Tabla__192.168.1.8_POSEIDONSQL_APPFVT_01_SQLFacturasRendidas[[#This Row],[usu_codigo]]="","",1)</f>
        <v>1</v>
      </c>
    </row>
    <row r="1311" spans="1:10" x14ac:dyDescent="0.25">
      <c r="A1311">
        <v>1</v>
      </c>
      <c r="B1311">
        <v>3</v>
      </c>
      <c r="C1311" t="s">
        <v>11</v>
      </c>
      <c r="D1311" t="s">
        <v>15</v>
      </c>
      <c r="E1311" t="s">
        <v>39</v>
      </c>
      <c r="F1311">
        <v>3353</v>
      </c>
      <c r="G1311">
        <f>+YEAR(Tabla__192.168.1.8_POSEIDONSQL_APPFVT_01_SQLFacturasRendidas[[#This Row],[f_facturacion]])</f>
        <v>2018</v>
      </c>
      <c r="H131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11">
        <f>+IF(Tabla__192.168.1.8_POSEIDONSQL_APPFVT_01_SQLFacturasRendidas[[#This Row],[epc_nombre]]="RENDIDA",1,0)</f>
        <v>1</v>
      </c>
      <c r="J1311">
        <f>+IF(Tabla__192.168.1.8_POSEIDONSQL_APPFVT_01_SQLFacturasRendidas[[#This Row],[usu_codigo]]="","",1)</f>
        <v>1</v>
      </c>
    </row>
    <row r="1312" spans="1:10" x14ac:dyDescent="0.25">
      <c r="A1312">
        <v>1</v>
      </c>
      <c r="B1312">
        <v>3</v>
      </c>
      <c r="C1312" t="s">
        <v>11</v>
      </c>
      <c r="D1312" t="s">
        <v>15</v>
      </c>
      <c r="E1312" t="s">
        <v>39</v>
      </c>
      <c r="F1312">
        <v>3354</v>
      </c>
      <c r="G1312">
        <f>+YEAR(Tabla__192.168.1.8_POSEIDONSQL_APPFVT_01_SQLFacturasRendidas[[#This Row],[f_facturacion]])</f>
        <v>2018</v>
      </c>
      <c r="H131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12">
        <f>+IF(Tabla__192.168.1.8_POSEIDONSQL_APPFVT_01_SQLFacturasRendidas[[#This Row],[epc_nombre]]="RENDIDA",1,0)</f>
        <v>1</v>
      </c>
      <c r="J1312">
        <f>+IF(Tabla__192.168.1.8_POSEIDONSQL_APPFVT_01_SQLFacturasRendidas[[#This Row],[usu_codigo]]="","",1)</f>
        <v>1</v>
      </c>
    </row>
    <row r="1313" spans="1:10" x14ac:dyDescent="0.25">
      <c r="A1313">
        <v>1</v>
      </c>
      <c r="B1313">
        <v>3</v>
      </c>
      <c r="C1313" t="s">
        <v>11</v>
      </c>
      <c r="D1313" t="s">
        <v>15</v>
      </c>
      <c r="E1313" t="s">
        <v>39</v>
      </c>
      <c r="F1313">
        <v>3355</v>
      </c>
      <c r="G1313">
        <f>+YEAR(Tabla__192.168.1.8_POSEIDONSQL_APPFVT_01_SQLFacturasRendidas[[#This Row],[f_facturacion]])</f>
        <v>2018</v>
      </c>
      <c r="H131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13">
        <f>+IF(Tabla__192.168.1.8_POSEIDONSQL_APPFVT_01_SQLFacturasRendidas[[#This Row],[epc_nombre]]="RENDIDA",1,0)</f>
        <v>1</v>
      </c>
      <c r="J1313">
        <f>+IF(Tabla__192.168.1.8_POSEIDONSQL_APPFVT_01_SQLFacturasRendidas[[#This Row],[usu_codigo]]="","",1)</f>
        <v>1</v>
      </c>
    </row>
    <row r="1314" spans="1:10" x14ac:dyDescent="0.25">
      <c r="A1314">
        <v>1</v>
      </c>
      <c r="B1314">
        <v>3</v>
      </c>
      <c r="C1314" t="s">
        <v>11</v>
      </c>
      <c r="D1314" t="s">
        <v>15</v>
      </c>
      <c r="E1314" t="s">
        <v>39</v>
      </c>
      <c r="F1314">
        <v>3356</v>
      </c>
      <c r="G1314">
        <f>+YEAR(Tabla__192.168.1.8_POSEIDONSQL_APPFVT_01_SQLFacturasRendidas[[#This Row],[f_facturacion]])</f>
        <v>2018</v>
      </c>
      <c r="H131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14">
        <f>+IF(Tabla__192.168.1.8_POSEIDONSQL_APPFVT_01_SQLFacturasRendidas[[#This Row],[epc_nombre]]="RENDIDA",1,0)</f>
        <v>1</v>
      </c>
      <c r="J1314">
        <f>+IF(Tabla__192.168.1.8_POSEIDONSQL_APPFVT_01_SQLFacturasRendidas[[#This Row],[usu_codigo]]="","",1)</f>
        <v>1</v>
      </c>
    </row>
    <row r="1315" spans="1:10" x14ac:dyDescent="0.25">
      <c r="A1315">
        <v>1</v>
      </c>
      <c r="B1315">
        <v>3</v>
      </c>
      <c r="C1315" t="s">
        <v>11</v>
      </c>
      <c r="D1315" t="s">
        <v>15</v>
      </c>
      <c r="E1315" t="s">
        <v>39</v>
      </c>
      <c r="F1315">
        <v>3357</v>
      </c>
      <c r="G1315">
        <f>+YEAR(Tabla__192.168.1.8_POSEIDONSQL_APPFVT_01_SQLFacturasRendidas[[#This Row],[f_facturacion]])</f>
        <v>2018</v>
      </c>
      <c r="H131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15">
        <f>+IF(Tabla__192.168.1.8_POSEIDONSQL_APPFVT_01_SQLFacturasRendidas[[#This Row],[epc_nombre]]="RENDIDA",1,0)</f>
        <v>1</v>
      </c>
      <c r="J1315">
        <f>+IF(Tabla__192.168.1.8_POSEIDONSQL_APPFVT_01_SQLFacturasRendidas[[#This Row],[usu_codigo]]="","",1)</f>
        <v>1</v>
      </c>
    </row>
    <row r="1316" spans="1:10" x14ac:dyDescent="0.25">
      <c r="A1316">
        <v>1</v>
      </c>
      <c r="B1316">
        <v>3</v>
      </c>
      <c r="C1316" t="s">
        <v>11</v>
      </c>
      <c r="D1316" t="s">
        <v>15</v>
      </c>
      <c r="E1316" t="s">
        <v>39</v>
      </c>
      <c r="F1316">
        <v>3358</v>
      </c>
      <c r="G1316">
        <f>+YEAR(Tabla__192.168.1.8_POSEIDONSQL_APPFVT_01_SQLFacturasRendidas[[#This Row],[f_facturacion]])</f>
        <v>2018</v>
      </c>
      <c r="H131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16">
        <f>+IF(Tabla__192.168.1.8_POSEIDONSQL_APPFVT_01_SQLFacturasRendidas[[#This Row],[epc_nombre]]="RENDIDA",1,0)</f>
        <v>1</v>
      </c>
      <c r="J1316">
        <f>+IF(Tabla__192.168.1.8_POSEIDONSQL_APPFVT_01_SQLFacturasRendidas[[#This Row],[usu_codigo]]="","",1)</f>
        <v>1</v>
      </c>
    </row>
    <row r="1317" spans="1:10" x14ac:dyDescent="0.25">
      <c r="A1317">
        <v>1</v>
      </c>
      <c r="B1317">
        <v>3</v>
      </c>
      <c r="C1317" t="s">
        <v>11</v>
      </c>
      <c r="D1317" t="s">
        <v>15</v>
      </c>
      <c r="E1317" t="s">
        <v>39</v>
      </c>
      <c r="F1317">
        <v>3359</v>
      </c>
      <c r="G1317">
        <f>+YEAR(Tabla__192.168.1.8_POSEIDONSQL_APPFVT_01_SQLFacturasRendidas[[#This Row],[f_facturacion]])</f>
        <v>2018</v>
      </c>
      <c r="H131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17">
        <f>+IF(Tabla__192.168.1.8_POSEIDONSQL_APPFVT_01_SQLFacturasRendidas[[#This Row],[epc_nombre]]="RENDIDA",1,0)</f>
        <v>1</v>
      </c>
      <c r="J1317">
        <f>+IF(Tabla__192.168.1.8_POSEIDONSQL_APPFVT_01_SQLFacturasRendidas[[#This Row],[usu_codigo]]="","",1)</f>
        <v>1</v>
      </c>
    </row>
    <row r="1318" spans="1:10" x14ac:dyDescent="0.25">
      <c r="A1318">
        <v>1</v>
      </c>
      <c r="B1318">
        <v>3</v>
      </c>
      <c r="C1318" t="s">
        <v>11</v>
      </c>
      <c r="D1318" t="s">
        <v>15</v>
      </c>
      <c r="E1318" t="s">
        <v>39</v>
      </c>
      <c r="F1318">
        <v>3360</v>
      </c>
      <c r="G1318">
        <f>+YEAR(Tabla__192.168.1.8_POSEIDONSQL_APPFVT_01_SQLFacturasRendidas[[#This Row],[f_facturacion]])</f>
        <v>2018</v>
      </c>
      <c r="H131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18">
        <f>+IF(Tabla__192.168.1.8_POSEIDONSQL_APPFVT_01_SQLFacturasRendidas[[#This Row],[epc_nombre]]="RENDIDA",1,0)</f>
        <v>1</v>
      </c>
      <c r="J1318">
        <f>+IF(Tabla__192.168.1.8_POSEIDONSQL_APPFVT_01_SQLFacturasRendidas[[#This Row],[usu_codigo]]="","",1)</f>
        <v>1</v>
      </c>
    </row>
    <row r="1319" spans="1:10" x14ac:dyDescent="0.25">
      <c r="A1319">
        <v>1</v>
      </c>
      <c r="B1319">
        <v>3</v>
      </c>
      <c r="C1319" t="s">
        <v>11</v>
      </c>
      <c r="D1319" t="s">
        <v>15</v>
      </c>
      <c r="E1319" t="s">
        <v>39</v>
      </c>
      <c r="F1319">
        <v>3361</v>
      </c>
      <c r="G1319">
        <f>+YEAR(Tabla__192.168.1.8_POSEIDONSQL_APPFVT_01_SQLFacturasRendidas[[#This Row],[f_facturacion]])</f>
        <v>2018</v>
      </c>
      <c r="H131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19">
        <f>+IF(Tabla__192.168.1.8_POSEIDONSQL_APPFVT_01_SQLFacturasRendidas[[#This Row],[epc_nombre]]="RENDIDA",1,0)</f>
        <v>1</v>
      </c>
      <c r="J1319">
        <f>+IF(Tabla__192.168.1.8_POSEIDONSQL_APPFVT_01_SQLFacturasRendidas[[#This Row],[usu_codigo]]="","",1)</f>
        <v>1</v>
      </c>
    </row>
    <row r="1320" spans="1:10" x14ac:dyDescent="0.25">
      <c r="A1320">
        <v>1</v>
      </c>
      <c r="B1320">
        <v>3</v>
      </c>
      <c r="C1320" t="s">
        <v>11</v>
      </c>
      <c r="D1320" t="s">
        <v>15</v>
      </c>
      <c r="E1320" t="s">
        <v>39</v>
      </c>
      <c r="F1320">
        <v>3362</v>
      </c>
      <c r="G1320">
        <f>+YEAR(Tabla__192.168.1.8_POSEIDONSQL_APPFVT_01_SQLFacturasRendidas[[#This Row],[f_facturacion]])</f>
        <v>2018</v>
      </c>
      <c r="H132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20">
        <f>+IF(Tabla__192.168.1.8_POSEIDONSQL_APPFVT_01_SQLFacturasRendidas[[#This Row],[epc_nombre]]="RENDIDA",1,0)</f>
        <v>1</v>
      </c>
      <c r="J1320">
        <f>+IF(Tabla__192.168.1.8_POSEIDONSQL_APPFVT_01_SQLFacturasRendidas[[#This Row],[usu_codigo]]="","",1)</f>
        <v>1</v>
      </c>
    </row>
    <row r="1321" spans="1:10" x14ac:dyDescent="0.25">
      <c r="A1321">
        <v>1</v>
      </c>
      <c r="B1321">
        <v>3</v>
      </c>
      <c r="C1321" t="s">
        <v>11</v>
      </c>
      <c r="D1321" t="s">
        <v>15</v>
      </c>
      <c r="E1321" t="s">
        <v>39</v>
      </c>
      <c r="F1321">
        <v>3363</v>
      </c>
      <c r="G1321">
        <f>+YEAR(Tabla__192.168.1.8_POSEIDONSQL_APPFVT_01_SQLFacturasRendidas[[#This Row],[f_facturacion]])</f>
        <v>2018</v>
      </c>
      <c r="H132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21">
        <f>+IF(Tabla__192.168.1.8_POSEIDONSQL_APPFVT_01_SQLFacturasRendidas[[#This Row],[epc_nombre]]="RENDIDA",1,0)</f>
        <v>1</v>
      </c>
      <c r="J1321">
        <f>+IF(Tabla__192.168.1.8_POSEIDONSQL_APPFVT_01_SQLFacturasRendidas[[#This Row],[usu_codigo]]="","",1)</f>
        <v>1</v>
      </c>
    </row>
    <row r="1322" spans="1:10" x14ac:dyDescent="0.25">
      <c r="A1322">
        <v>1</v>
      </c>
      <c r="B1322">
        <v>3</v>
      </c>
      <c r="C1322" t="s">
        <v>11</v>
      </c>
      <c r="D1322" t="s">
        <v>15</v>
      </c>
      <c r="E1322" t="s">
        <v>39</v>
      </c>
      <c r="F1322">
        <v>3364</v>
      </c>
      <c r="G1322">
        <f>+YEAR(Tabla__192.168.1.8_POSEIDONSQL_APPFVT_01_SQLFacturasRendidas[[#This Row],[f_facturacion]])</f>
        <v>2018</v>
      </c>
      <c r="H132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22">
        <f>+IF(Tabla__192.168.1.8_POSEIDONSQL_APPFVT_01_SQLFacturasRendidas[[#This Row],[epc_nombre]]="RENDIDA",1,0)</f>
        <v>1</v>
      </c>
      <c r="J1322">
        <f>+IF(Tabla__192.168.1.8_POSEIDONSQL_APPFVT_01_SQLFacturasRendidas[[#This Row],[usu_codigo]]="","",1)</f>
        <v>1</v>
      </c>
    </row>
    <row r="1323" spans="1:10" x14ac:dyDescent="0.25">
      <c r="A1323">
        <v>1</v>
      </c>
      <c r="B1323">
        <v>3</v>
      </c>
      <c r="C1323" t="s">
        <v>11</v>
      </c>
      <c r="D1323" t="s">
        <v>15</v>
      </c>
      <c r="E1323" t="s">
        <v>39</v>
      </c>
      <c r="F1323">
        <v>3365</v>
      </c>
      <c r="G1323">
        <f>+YEAR(Tabla__192.168.1.8_POSEIDONSQL_APPFVT_01_SQLFacturasRendidas[[#This Row],[f_facturacion]])</f>
        <v>2018</v>
      </c>
      <c r="H132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23">
        <f>+IF(Tabla__192.168.1.8_POSEIDONSQL_APPFVT_01_SQLFacturasRendidas[[#This Row],[epc_nombre]]="RENDIDA",1,0)</f>
        <v>1</v>
      </c>
      <c r="J1323">
        <f>+IF(Tabla__192.168.1.8_POSEIDONSQL_APPFVT_01_SQLFacturasRendidas[[#This Row],[usu_codigo]]="","",1)</f>
        <v>1</v>
      </c>
    </row>
    <row r="1324" spans="1:10" x14ac:dyDescent="0.25">
      <c r="A1324">
        <v>1</v>
      </c>
      <c r="B1324">
        <v>3</v>
      </c>
      <c r="C1324" t="s">
        <v>11</v>
      </c>
      <c r="D1324" t="s">
        <v>15</v>
      </c>
      <c r="E1324" t="s">
        <v>39</v>
      </c>
      <c r="F1324">
        <v>3366</v>
      </c>
      <c r="G1324">
        <f>+YEAR(Tabla__192.168.1.8_POSEIDONSQL_APPFVT_01_SQLFacturasRendidas[[#This Row],[f_facturacion]])</f>
        <v>2018</v>
      </c>
      <c r="H132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24">
        <f>+IF(Tabla__192.168.1.8_POSEIDONSQL_APPFVT_01_SQLFacturasRendidas[[#This Row],[epc_nombre]]="RENDIDA",1,0)</f>
        <v>1</v>
      </c>
      <c r="J1324">
        <f>+IF(Tabla__192.168.1.8_POSEIDONSQL_APPFVT_01_SQLFacturasRendidas[[#This Row],[usu_codigo]]="","",1)</f>
        <v>1</v>
      </c>
    </row>
    <row r="1325" spans="1:10" x14ac:dyDescent="0.25">
      <c r="A1325">
        <v>1</v>
      </c>
      <c r="B1325">
        <v>3</v>
      </c>
      <c r="C1325" t="s">
        <v>11</v>
      </c>
      <c r="D1325" t="s">
        <v>15</v>
      </c>
      <c r="E1325" t="s">
        <v>39</v>
      </c>
      <c r="F1325">
        <v>3367</v>
      </c>
      <c r="G1325">
        <f>+YEAR(Tabla__192.168.1.8_POSEIDONSQL_APPFVT_01_SQLFacturasRendidas[[#This Row],[f_facturacion]])</f>
        <v>2018</v>
      </c>
      <c r="H132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25">
        <f>+IF(Tabla__192.168.1.8_POSEIDONSQL_APPFVT_01_SQLFacturasRendidas[[#This Row],[epc_nombre]]="RENDIDA",1,0)</f>
        <v>1</v>
      </c>
      <c r="J1325">
        <f>+IF(Tabla__192.168.1.8_POSEIDONSQL_APPFVT_01_SQLFacturasRendidas[[#This Row],[usu_codigo]]="","",1)</f>
        <v>1</v>
      </c>
    </row>
    <row r="1326" spans="1:10" x14ac:dyDescent="0.25">
      <c r="A1326">
        <v>1</v>
      </c>
      <c r="B1326">
        <v>3</v>
      </c>
      <c r="C1326" t="s">
        <v>11</v>
      </c>
      <c r="D1326" t="s">
        <v>15</v>
      </c>
      <c r="E1326" t="s">
        <v>39</v>
      </c>
      <c r="F1326">
        <v>3368</v>
      </c>
      <c r="G1326">
        <f>+YEAR(Tabla__192.168.1.8_POSEIDONSQL_APPFVT_01_SQLFacturasRendidas[[#This Row],[f_facturacion]])</f>
        <v>2018</v>
      </c>
      <c r="H132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26">
        <f>+IF(Tabla__192.168.1.8_POSEIDONSQL_APPFVT_01_SQLFacturasRendidas[[#This Row],[epc_nombre]]="RENDIDA",1,0)</f>
        <v>1</v>
      </c>
      <c r="J1326">
        <f>+IF(Tabla__192.168.1.8_POSEIDONSQL_APPFVT_01_SQLFacturasRendidas[[#This Row],[usu_codigo]]="","",1)</f>
        <v>1</v>
      </c>
    </row>
    <row r="1327" spans="1:10" x14ac:dyDescent="0.25">
      <c r="A1327">
        <v>1</v>
      </c>
      <c r="B1327">
        <v>3</v>
      </c>
      <c r="C1327" t="s">
        <v>11</v>
      </c>
      <c r="D1327" t="s">
        <v>15</v>
      </c>
      <c r="E1327" t="s">
        <v>40</v>
      </c>
      <c r="F1327">
        <v>3369</v>
      </c>
      <c r="G1327">
        <f>+YEAR(Tabla__192.168.1.8_POSEIDONSQL_APPFVT_01_SQLFacturasRendidas[[#This Row],[f_facturacion]])</f>
        <v>2018</v>
      </c>
      <c r="H132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27">
        <f>+IF(Tabla__192.168.1.8_POSEIDONSQL_APPFVT_01_SQLFacturasRendidas[[#This Row],[epc_nombre]]="RENDIDA",1,0)</f>
        <v>1</v>
      </c>
      <c r="J1327">
        <f>+IF(Tabla__192.168.1.8_POSEIDONSQL_APPFVT_01_SQLFacturasRendidas[[#This Row],[usu_codigo]]="","",1)</f>
        <v>1</v>
      </c>
    </row>
    <row r="1328" spans="1:10" x14ac:dyDescent="0.25">
      <c r="A1328">
        <v>1</v>
      </c>
      <c r="B1328">
        <v>3</v>
      </c>
      <c r="C1328" t="s">
        <v>11</v>
      </c>
      <c r="D1328" t="s">
        <v>15</v>
      </c>
      <c r="E1328" t="s">
        <v>40</v>
      </c>
      <c r="F1328">
        <v>3370</v>
      </c>
      <c r="G1328">
        <f>+YEAR(Tabla__192.168.1.8_POSEIDONSQL_APPFVT_01_SQLFacturasRendidas[[#This Row],[f_facturacion]])</f>
        <v>2018</v>
      </c>
      <c r="H132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28">
        <f>+IF(Tabla__192.168.1.8_POSEIDONSQL_APPFVT_01_SQLFacturasRendidas[[#This Row],[epc_nombre]]="RENDIDA",1,0)</f>
        <v>1</v>
      </c>
      <c r="J1328">
        <f>+IF(Tabla__192.168.1.8_POSEIDONSQL_APPFVT_01_SQLFacturasRendidas[[#This Row],[usu_codigo]]="","",1)</f>
        <v>1</v>
      </c>
    </row>
    <row r="1329" spans="1:10" x14ac:dyDescent="0.25">
      <c r="A1329">
        <v>1</v>
      </c>
      <c r="B1329">
        <v>3</v>
      </c>
      <c r="C1329" t="s">
        <v>11</v>
      </c>
      <c r="D1329" t="s">
        <v>15</v>
      </c>
      <c r="E1329" t="s">
        <v>40</v>
      </c>
      <c r="F1329">
        <v>3371</v>
      </c>
      <c r="G1329">
        <f>+YEAR(Tabla__192.168.1.8_POSEIDONSQL_APPFVT_01_SQLFacturasRendidas[[#This Row],[f_facturacion]])</f>
        <v>2018</v>
      </c>
      <c r="H132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29">
        <f>+IF(Tabla__192.168.1.8_POSEIDONSQL_APPFVT_01_SQLFacturasRendidas[[#This Row],[epc_nombre]]="RENDIDA",1,0)</f>
        <v>1</v>
      </c>
      <c r="J1329">
        <f>+IF(Tabla__192.168.1.8_POSEIDONSQL_APPFVT_01_SQLFacturasRendidas[[#This Row],[usu_codigo]]="","",1)</f>
        <v>1</v>
      </c>
    </row>
    <row r="1330" spans="1:10" x14ac:dyDescent="0.25">
      <c r="A1330">
        <v>1</v>
      </c>
      <c r="B1330">
        <v>3</v>
      </c>
      <c r="C1330" t="s">
        <v>11</v>
      </c>
      <c r="D1330" t="s">
        <v>15</v>
      </c>
      <c r="E1330" t="s">
        <v>71</v>
      </c>
      <c r="F1330">
        <v>3372</v>
      </c>
      <c r="G1330">
        <f>+YEAR(Tabla__192.168.1.8_POSEIDONSQL_APPFVT_01_SQLFacturasRendidas[[#This Row],[f_facturacion]])</f>
        <v>2018</v>
      </c>
      <c r="H133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30">
        <f>+IF(Tabla__192.168.1.8_POSEIDONSQL_APPFVT_01_SQLFacturasRendidas[[#This Row],[epc_nombre]]="RENDIDA",1,0)</f>
        <v>1</v>
      </c>
      <c r="J1330">
        <f>+IF(Tabla__192.168.1.8_POSEIDONSQL_APPFVT_01_SQLFacturasRendidas[[#This Row],[usu_codigo]]="","",1)</f>
        <v>1</v>
      </c>
    </row>
    <row r="1331" spans="1:10" x14ac:dyDescent="0.25">
      <c r="A1331">
        <v>1</v>
      </c>
      <c r="B1331">
        <v>3</v>
      </c>
      <c r="C1331" t="s">
        <v>11</v>
      </c>
      <c r="D1331" t="s">
        <v>15</v>
      </c>
      <c r="E1331" t="s">
        <v>40</v>
      </c>
      <c r="F1331">
        <v>3373</v>
      </c>
      <c r="G1331">
        <f>+YEAR(Tabla__192.168.1.8_POSEIDONSQL_APPFVT_01_SQLFacturasRendidas[[#This Row],[f_facturacion]])</f>
        <v>2018</v>
      </c>
      <c r="H133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31">
        <f>+IF(Tabla__192.168.1.8_POSEIDONSQL_APPFVT_01_SQLFacturasRendidas[[#This Row],[epc_nombre]]="RENDIDA",1,0)</f>
        <v>1</v>
      </c>
      <c r="J1331">
        <f>+IF(Tabla__192.168.1.8_POSEIDONSQL_APPFVT_01_SQLFacturasRendidas[[#This Row],[usu_codigo]]="","",1)</f>
        <v>1</v>
      </c>
    </row>
    <row r="1332" spans="1:10" x14ac:dyDescent="0.25">
      <c r="A1332">
        <v>1</v>
      </c>
      <c r="B1332">
        <v>3</v>
      </c>
      <c r="C1332" t="s">
        <v>11</v>
      </c>
      <c r="D1332" t="s">
        <v>15</v>
      </c>
      <c r="E1332" t="s">
        <v>40</v>
      </c>
      <c r="F1332">
        <v>3374</v>
      </c>
      <c r="G1332">
        <f>+YEAR(Tabla__192.168.1.8_POSEIDONSQL_APPFVT_01_SQLFacturasRendidas[[#This Row],[f_facturacion]])</f>
        <v>2018</v>
      </c>
      <c r="H133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32">
        <f>+IF(Tabla__192.168.1.8_POSEIDONSQL_APPFVT_01_SQLFacturasRendidas[[#This Row],[epc_nombre]]="RENDIDA",1,0)</f>
        <v>1</v>
      </c>
      <c r="J1332">
        <f>+IF(Tabla__192.168.1.8_POSEIDONSQL_APPFVT_01_SQLFacturasRendidas[[#This Row],[usu_codigo]]="","",1)</f>
        <v>1</v>
      </c>
    </row>
    <row r="1333" spans="1:10" x14ac:dyDescent="0.25">
      <c r="A1333">
        <v>1</v>
      </c>
      <c r="B1333">
        <v>3</v>
      </c>
      <c r="C1333" t="s">
        <v>11</v>
      </c>
      <c r="D1333" t="s">
        <v>15</v>
      </c>
      <c r="E1333" t="s">
        <v>40</v>
      </c>
      <c r="F1333">
        <v>3375</v>
      </c>
      <c r="G1333">
        <f>+YEAR(Tabla__192.168.1.8_POSEIDONSQL_APPFVT_01_SQLFacturasRendidas[[#This Row],[f_facturacion]])</f>
        <v>2018</v>
      </c>
      <c r="H133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33">
        <f>+IF(Tabla__192.168.1.8_POSEIDONSQL_APPFVT_01_SQLFacturasRendidas[[#This Row],[epc_nombre]]="RENDIDA",1,0)</f>
        <v>1</v>
      </c>
      <c r="J1333">
        <f>+IF(Tabla__192.168.1.8_POSEIDONSQL_APPFVT_01_SQLFacturasRendidas[[#This Row],[usu_codigo]]="","",1)</f>
        <v>1</v>
      </c>
    </row>
    <row r="1334" spans="1:10" x14ac:dyDescent="0.25">
      <c r="A1334">
        <v>1</v>
      </c>
      <c r="B1334">
        <v>3</v>
      </c>
      <c r="C1334" t="s">
        <v>11</v>
      </c>
      <c r="D1334" t="s">
        <v>15</v>
      </c>
      <c r="E1334" t="s">
        <v>40</v>
      </c>
      <c r="F1334">
        <v>3376</v>
      </c>
      <c r="G1334">
        <f>+YEAR(Tabla__192.168.1.8_POSEIDONSQL_APPFVT_01_SQLFacturasRendidas[[#This Row],[f_facturacion]])</f>
        <v>2018</v>
      </c>
      <c r="H133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34">
        <f>+IF(Tabla__192.168.1.8_POSEIDONSQL_APPFVT_01_SQLFacturasRendidas[[#This Row],[epc_nombre]]="RENDIDA",1,0)</f>
        <v>1</v>
      </c>
      <c r="J1334">
        <f>+IF(Tabla__192.168.1.8_POSEIDONSQL_APPFVT_01_SQLFacturasRendidas[[#This Row],[usu_codigo]]="","",1)</f>
        <v>1</v>
      </c>
    </row>
    <row r="1335" spans="1:10" x14ac:dyDescent="0.25">
      <c r="A1335">
        <v>1</v>
      </c>
      <c r="B1335">
        <v>3</v>
      </c>
      <c r="C1335" t="s">
        <v>11</v>
      </c>
      <c r="D1335" t="s">
        <v>15</v>
      </c>
      <c r="E1335" t="s">
        <v>40</v>
      </c>
      <c r="F1335">
        <v>3377</v>
      </c>
      <c r="G1335">
        <f>+YEAR(Tabla__192.168.1.8_POSEIDONSQL_APPFVT_01_SQLFacturasRendidas[[#This Row],[f_facturacion]])</f>
        <v>2018</v>
      </c>
      <c r="H133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35">
        <f>+IF(Tabla__192.168.1.8_POSEIDONSQL_APPFVT_01_SQLFacturasRendidas[[#This Row],[epc_nombre]]="RENDIDA",1,0)</f>
        <v>1</v>
      </c>
      <c r="J1335">
        <f>+IF(Tabla__192.168.1.8_POSEIDONSQL_APPFVT_01_SQLFacturasRendidas[[#This Row],[usu_codigo]]="","",1)</f>
        <v>1</v>
      </c>
    </row>
    <row r="1336" spans="1:10" x14ac:dyDescent="0.25">
      <c r="A1336">
        <v>1</v>
      </c>
      <c r="B1336">
        <v>3</v>
      </c>
      <c r="C1336" t="s">
        <v>11</v>
      </c>
      <c r="D1336" t="s">
        <v>15</v>
      </c>
      <c r="E1336" t="s">
        <v>40</v>
      </c>
      <c r="F1336">
        <v>3378</v>
      </c>
      <c r="G1336">
        <f>+YEAR(Tabla__192.168.1.8_POSEIDONSQL_APPFVT_01_SQLFacturasRendidas[[#This Row],[f_facturacion]])</f>
        <v>2018</v>
      </c>
      <c r="H133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36">
        <f>+IF(Tabla__192.168.1.8_POSEIDONSQL_APPFVT_01_SQLFacturasRendidas[[#This Row],[epc_nombre]]="RENDIDA",1,0)</f>
        <v>1</v>
      </c>
      <c r="J1336">
        <f>+IF(Tabla__192.168.1.8_POSEIDONSQL_APPFVT_01_SQLFacturasRendidas[[#This Row],[usu_codigo]]="","",1)</f>
        <v>1</v>
      </c>
    </row>
    <row r="1337" spans="1:10" x14ac:dyDescent="0.25">
      <c r="A1337">
        <v>1</v>
      </c>
      <c r="B1337">
        <v>3</v>
      </c>
      <c r="C1337" t="s">
        <v>81</v>
      </c>
      <c r="D1337" t="s">
        <v>15</v>
      </c>
      <c r="E1337" t="s">
        <v>44</v>
      </c>
      <c r="F1337">
        <v>91353</v>
      </c>
      <c r="G1337">
        <f>+YEAR(Tabla__192.168.1.8_POSEIDONSQL_APPFVT_01_SQLFacturasRendidas[[#This Row],[f_facturacion]])</f>
        <v>2018</v>
      </c>
      <c r="H133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37">
        <f>+IF(Tabla__192.168.1.8_POSEIDONSQL_APPFVT_01_SQLFacturasRendidas[[#This Row],[epc_nombre]]="RENDIDA",1,0)</f>
        <v>1</v>
      </c>
      <c r="J1337">
        <f>+IF(Tabla__192.168.1.8_POSEIDONSQL_APPFVT_01_SQLFacturasRendidas[[#This Row],[usu_codigo]]="","",1)</f>
        <v>1</v>
      </c>
    </row>
    <row r="1338" spans="1:10" x14ac:dyDescent="0.25">
      <c r="A1338">
        <v>1</v>
      </c>
      <c r="B1338">
        <v>3</v>
      </c>
      <c r="C1338" t="s">
        <v>81</v>
      </c>
      <c r="D1338" t="s">
        <v>15</v>
      </c>
      <c r="E1338" t="s">
        <v>44</v>
      </c>
      <c r="F1338">
        <v>91354</v>
      </c>
      <c r="G1338">
        <f>+YEAR(Tabla__192.168.1.8_POSEIDONSQL_APPFVT_01_SQLFacturasRendidas[[#This Row],[f_facturacion]])</f>
        <v>2018</v>
      </c>
      <c r="H133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38">
        <f>+IF(Tabla__192.168.1.8_POSEIDONSQL_APPFVT_01_SQLFacturasRendidas[[#This Row],[epc_nombre]]="RENDIDA",1,0)</f>
        <v>1</v>
      </c>
      <c r="J1338">
        <f>+IF(Tabla__192.168.1.8_POSEIDONSQL_APPFVT_01_SQLFacturasRendidas[[#This Row],[usu_codigo]]="","",1)</f>
        <v>1</v>
      </c>
    </row>
    <row r="1339" spans="1:10" x14ac:dyDescent="0.25">
      <c r="A1339">
        <v>1</v>
      </c>
      <c r="B1339">
        <v>3</v>
      </c>
      <c r="C1339" t="s">
        <v>81</v>
      </c>
      <c r="D1339" t="s">
        <v>15</v>
      </c>
      <c r="E1339" t="s">
        <v>44</v>
      </c>
      <c r="F1339">
        <v>91355</v>
      </c>
      <c r="G1339">
        <f>+YEAR(Tabla__192.168.1.8_POSEIDONSQL_APPFVT_01_SQLFacturasRendidas[[#This Row],[f_facturacion]])</f>
        <v>2018</v>
      </c>
      <c r="H133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39">
        <f>+IF(Tabla__192.168.1.8_POSEIDONSQL_APPFVT_01_SQLFacturasRendidas[[#This Row],[epc_nombre]]="RENDIDA",1,0)</f>
        <v>1</v>
      </c>
      <c r="J1339">
        <f>+IF(Tabla__192.168.1.8_POSEIDONSQL_APPFVT_01_SQLFacturasRendidas[[#This Row],[usu_codigo]]="","",1)</f>
        <v>1</v>
      </c>
    </row>
    <row r="1340" spans="1:10" x14ac:dyDescent="0.25">
      <c r="A1340">
        <v>1</v>
      </c>
      <c r="B1340">
        <v>3</v>
      </c>
      <c r="C1340" t="s">
        <v>81</v>
      </c>
      <c r="D1340" t="s">
        <v>15</v>
      </c>
      <c r="E1340" t="s">
        <v>44</v>
      </c>
      <c r="F1340">
        <v>91356</v>
      </c>
      <c r="G1340">
        <f>+YEAR(Tabla__192.168.1.8_POSEIDONSQL_APPFVT_01_SQLFacturasRendidas[[#This Row],[f_facturacion]])</f>
        <v>2018</v>
      </c>
      <c r="H134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40">
        <f>+IF(Tabla__192.168.1.8_POSEIDONSQL_APPFVT_01_SQLFacturasRendidas[[#This Row],[epc_nombre]]="RENDIDA",1,0)</f>
        <v>1</v>
      </c>
      <c r="J1340">
        <f>+IF(Tabla__192.168.1.8_POSEIDONSQL_APPFVT_01_SQLFacturasRendidas[[#This Row],[usu_codigo]]="","",1)</f>
        <v>1</v>
      </c>
    </row>
    <row r="1341" spans="1:10" x14ac:dyDescent="0.25">
      <c r="A1341">
        <v>1</v>
      </c>
      <c r="B1341">
        <v>3</v>
      </c>
      <c r="C1341" t="s">
        <v>81</v>
      </c>
      <c r="D1341" t="s">
        <v>15</v>
      </c>
      <c r="E1341" t="s">
        <v>44</v>
      </c>
      <c r="F1341">
        <v>91357</v>
      </c>
      <c r="G1341">
        <f>+YEAR(Tabla__192.168.1.8_POSEIDONSQL_APPFVT_01_SQLFacturasRendidas[[#This Row],[f_facturacion]])</f>
        <v>2018</v>
      </c>
      <c r="H134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41">
        <f>+IF(Tabla__192.168.1.8_POSEIDONSQL_APPFVT_01_SQLFacturasRendidas[[#This Row],[epc_nombre]]="RENDIDA",1,0)</f>
        <v>1</v>
      </c>
      <c r="J1341">
        <f>+IF(Tabla__192.168.1.8_POSEIDONSQL_APPFVT_01_SQLFacturasRendidas[[#This Row],[usu_codigo]]="","",1)</f>
        <v>1</v>
      </c>
    </row>
    <row r="1342" spans="1:10" x14ac:dyDescent="0.25">
      <c r="A1342">
        <v>1</v>
      </c>
      <c r="B1342">
        <v>3</v>
      </c>
      <c r="C1342" t="s">
        <v>81</v>
      </c>
      <c r="D1342" t="s">
        <v>15</v>
      </c>
      <c r="E1342" t="s">
        <v>44</v>
      </c>
      <c r="F1342">
        <v>91358</v>
      </c>
      <c r="G1342">
        <f>+YEAR(Tabla__192.168.1.8_POSEIDONSQL_APPFVT_01_SQLFacturasRendidas[[#This Row],[f_facturacion]])</f>
        <v>2018</v>
      </c>
      <c r="H134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42">
        <f>+IF(Tabla__192.168.1.8_POSEIDONSQL_APPFVT_01_SQLFacturasRendidas[[#This Row],[epc_nombre]]="RENDIDA",1,0)</f>
        <v>1</v>
      </c>
      <c r="J1342">
        <f>+IF(Tabla__192.168.1.8_POSEIDONSQL_APPFVT_01_SQLFacturasRendidas[[#This Row],[usu_codigo]]="","",1)</f>
        <v>1</v>
      </c>
    </row>
    <row r="1343" spans="1:10" x14ac:dyDescent="0.25">
      <c r="A1343">
        <v>1</v>
      </c>
      <c r="B1343">
        <v>3</v>
      </c>
      <c r="C1343" t="s">
        <v>81</v>
      </c>
      <c r="D1343" t="s">
        <v>15</v>
      </c>
      <c r="E1343" t="s">
        <v>44</v>
      </c>
      <c r="F1343">
        <v>91359</v>
      </c>
      <c r="G1343">
        <f>+YEAR(Tabla__192.168.1.8_POSEIDONSQL_APPFVT_01_SQLFacturasRendidas[[#This Row],[f_facturacion]])</f>
        <v>2018</v>
      </c>
      <c r="H134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43">
        <f>+IF(Tabla__192.168.1.8_POSEIDONSQL_APPFVT_01_SQLFacturasRendidas[[#This Row],[epc_nombre]]="RENDIDA",1,0)</f>
        <v>1</v>
      </c>
      <c r="J1343">
        <f>+IF(Tabla__192.168.1.8_POSEIDONSQL_APPFVT_01_SQLFacturasRendidas[[#This Row],[usu_codigo]]="","",1)</f>
        <v>1</v>
      </c>
    </row>
    <row r="1344" spans="1:10" x14ac:dyDescent="0.25">
      <c r="A1344">
        <v>1</v>
      </c>
      <c r="B1344">
        <v>3</v>
      </c>
      <c r="C1344" t="s">
        <v>81</v>
      </c>
      <c r="D1344" t="s">
        <v>15</v>
      </c>
      <c r="E1344" t="s">
        <v>45</v>
      </c>
      <c r="F1344">
        <v>91465</v>
      </c>
      <c r="G1344">
        <f>+YEAR(Tabla__192.168.1.8_POSEIDONSQL_APPFVT_01_SQLFacturasRendidas[[#This Row],[f_facturacion]])</f>
        <v>2018</v>
      </c>
      <c r="H134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44">
        <f>+IF(Tabla__192.168.1.8_POSEIDONSQL_APPFVT_01_SQLFacturasRendidas[[#This Row],[epc_nombre]]="RENDIDA",1,0)</f>
        <v>1</v>
      </c>
      <c r="J1344">
        <f>+IF(Tabla__192.168.1.8_POSEIDONSQL_APPFVT_01_SQLFacturasRendidas[[#This Row],[usu_codigo]]="","",1)</f>
        <v>1</v>
      </c>
    </row>
    <row r="1345" spans="1:10" x14ac:dyDescent="0.25">
      <c r="A1345">
        <v>1</v>
      </c>
      <c r="B1345">
        <v>3</v>
      </c>
      <c r="C1345" t="s">
        <v>81</v>
      </c>
      <c r="D1345" t="s">
        <v>15</v>
      </c>
      <c r="E1345" t="s">
        <v>45</v>
      </c>
      <c r="F1345">
        <v>91466</v>
      </c>
      <c r="G1345">
        <f>+YEAR(Tabla__192.168.1.8_POSEIDONSQL_APPFVT_01_SQLFacturasRendidas[[#This Row],[f_facturacion]])</f>
        <v>2018</v>
      </c>
      <c r="H134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45">
        <f>+IF(Tabla__192.168.1.8_POSEIDONSQL_APPFVT_01_SQLFacturasRendidas[[#This Row],[epc_nombre]]="RENDIDA",1,0)</f>
        <v>1</v>
      </c>
      <c r="J1345">
        <f>+IF(Tabla__192.168.1.8_POSEIDONSQL_APPFVT_01_SQLFacturasRendidas[[#This Row],[usu_codigo]]="","",1)</f>
        <v>1</v>
      </c>
    </row>
    <row r="1346" spans="1:10" x14ac:dyDescent="0.25">
      <c r="A1346">
        <v>1</v>
      </c>
      <c r="B1346">
        <v>3</v>
      </c>
      <c r="C1346" t="s">
        <v>81</v>
      </c>
      <c r="D1346" t="s">
        <v>15</v>
      </c>
      <c r="E1346" t="s">
        <v>45</v>
      </c>
      <c r="F1346">
        <v>91467</v>
      </c>
      <c r="G1346">
        <f>+YEAR(Tabla__192.168.1.8_POSEIDONSQL_APPFVT_01_SQLFacturasRendidas[[#This Row],[f_facturacion]])</f>
        <v>2018</v>
      </c>
      <c r="H134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46">
        <f>+IF(Tabla__192.168.1.8_POSEIDONSQL_APPFVT_01_SQLFacturasRendidas[[#This Row],[epc_nombre]]="RENDIDA",1,0)</f>
        <v>1</v>
      </c>
      <c r="J1346">
        <f>+IF(Tabla__192.168.1.8_POSEIDONSQL_APPFVT_01_SQLFacturasRendidas[[#This Row],[usu_codigo]]="","",1)</f>
        <v>1</v>
      </c>
    </row>
    <row r="1347" spans="1:10" x14ac:dyDescent="0.25">
      <c r="A1347">
        <v>1</v>
      </c>
      <c r="B1347">
        <v>3</v>
      </c>
      <c r="C1347" t="s">
        <v>81</v>
      </c>
      <c r="D1347" t="s">
        <v>15</v>
      </c>
      <c r="E1347" t="s">
        <v>45</v>
      </c>
      <c r="F1347">
        <v>91468</v>
      </c>
      <c r="G1347">
        <f>+YEAR(Tabla__192.168.1.8_POSEIDONSQL_APPFVT_01_SQLFacturasRendidas[[#This Row],[f_facturacion]])</f>
        <v>2018</v>
      </c>
      <c r="H134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47">
        <f>+IF(Tabla__192.168.1.8_POSEIDONSQL_APPFVT_01_SQLFacturasRendidas[[#This Row],[epc_nombre]]="RENDIDA",1,0)</f>
        <v>1</v>
      </c>
      <c r="J1347">
        <f>+IF(Tabla__192.168.1.8_POSEIDONSQL_APPFVT_01_SQLFacturasRendidas[[#This Row],[usu_codigo]]="","",1)</f>
        <v>1</v>
      </c>
    </row>
    <row r="1348" spans="1:10" x14ac:dyDescent="0.25">
      <c r="A1348">
        <v>1</v>
      </c>
      <c r="B1348">
        <v>3</v>
      </c>
      <c r="C1348" t="s">
        <v>81</v>
      </c>
      <c r="D1348" t="s">
        <v>15</v>
      </c>
      <c r="E1348" t="s">
        <v>45</v>
      </c>
      <c r="F1348">
        <v>91469</v>
      </c>
      <c r="G1348">
        <f>+YEAR(Tabla__192.168.1.8_POSEIDONSQL_APPFVT_01_SQLFacturasRendidas[[#This Row],[f_facturacion]])</f>
        <v>2018</v>
      </c>
      <c r="H134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48">
        <f>+IF(Tabla__192.168.1.8_POSEIDONSQL_APPFVT_01_SQLFacturasRendidas[[#This Row],[epc_nombre]]="RENDIDA",1,0)</f>
        <v>1</v>
      </c>
      <c r="J1348">
        <f>+IF(Tabla__192.168.1.8_POSEIDONSQL_APPFVT_01_SQLFacturasRendidas[[#This Row],[usu_codigo]]="","",1)</f>
        <v>1</v>
      </c>
    </row>
    <row r="1349" spans="1:10" x14ac:dyDescent="0.25">
      <c r="A1349">
        <v>1</v>
      </c>
      <c r="B1349">
        <v>3</v>
      </c>
      <c r="C1349" t="s">
        <v>81</v>
      </c>
      <c r="D1349" t="s">
        <v>15</v>
      </c>
      <c r="E1349" t="s">
        <v>45</v>
      </c>
      <c r="F1349">
        <v>91470</v>
      </c>
      <c r="G1349">
        <f>+YEAR(Tabla__192.168.1.8_POSEIDONSQL_APPFVT_01_SQLFacturasRendidas[[#This Row],[f_facturacion]])</f>
        <v>2018</v>
      </c>
      <c r="H134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49">
        <f>+IF(Tabla__192.168.1.8_POSEIDONSQL_APPFVT_01_SQLFacturasRendidas[[#This Row],[epc_nombre]]="RENDIDA",1,0)</f>
        <v>1</v>
      </c>
      <c r="J1349">
        <f>+IF(Tabla__192.168.1.8_POSEIDONSQL_APPFVT_01_SQLFacturasRendidas[[#This Row],[usu_codigo]]="","",1)</f>
        <v>1</v>
      </c>
    </row>
    <row r="1350" spans="1:10" x14ac:dyDescent="0.25">
      <c r="A1350">
        <v>1</v>
      </c>
      <c r="B1350">
        <v>3</v>
      </c>
      <c r="C1350" t="s">
        <v>81</v>
      </c>
      <c r="D1350" t="s">
        <v>15</v>
      </c>
      <c r="E1350" t="s">
        <v>45</v>
      </c>
      <c r="F1350">
        <v>91471</v>
      </c>
      <c r="G1350">
        <f>+YEAR(Tabla__192.168.1.8_POSEIDONSQL_APPFVT_01_SQLFacturasRendidas[[#This Row],[f_facturacion]])</f>
        <v>2018</v>
      </c>
      <c r="H135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50">
        <f>+IF(Tabla__192.168.1.8_POSEIDONSQL_APPFVT_01_SQLFacturasRendidas[[#This Row],[epc_nombre]]="RENDIDA",1,0)</f>
        <v>1</v>
      </c>
      <c r="J1350">
        <f>+IF(Tabla__192.168.1.8_POSEIDONSQL_APPFVT_01_SQLFacturasRendidas[[#This Row],[usu_codigo]]="","",1)</f>
        <v>1</v>
      </c>
    </row>
    <row r="1351" spans="1:10" x14ac:dyDescent="0.25">
      <c r="A1351">
        <v>1</v>
      </c>
      <c r="B1351">
        <v>3</v>
      </c>
      <c r="C1351" t="s">
        <v>81</v>
      </c>
      <c r="D1351" t="s">
        <v>15</v>
      </c>
      <c r="E1351" t="s">
        <v>45</v>
      </c>
      <c r="F1351">
        <v>91472</v>
      </c>
      <c r="G1351">
        <f>+YEAR(Tabla__192.168.1.8_POSEIDONSQL_APPFVT_01_SQLFacturasRendidas[[#This Row],[f_facturacion]])</f>
        <v>2018</v>
      </c>
      <c r="H135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51">
        <f>+IF(Tabla__192.168.1.8_POSEIDONSQL_APPFVT_01_SQLFacturasRendidas[[#This Row],[epc_nombre]]="RENDIDA",1,0)</f>
        <v>1</v>
      </c>
      <c r="J1351">
        <f>+IF(Tabla__192.168.1.8_POSEIDONSQL_APPFVT_01_SQLFacturasRendidas[[#This Row],[usu_codigo]]="","",1)</f>
        <v>1</v>
      </c>
    </row>
    <row r="1352" spans="1:10" x14ac:dyDescent="0.25">
      <c r="A1352">
        <v>1</v>
      </c>
      <c r="B1352">
        <v>3</v>
      </c>
      <c r="C1352" t="s">
        <v>81</v>
      </c>
      <c r="D1352" t="s">
        <v>15</v>
      </c>
      <c r="E1352" t="s">
        <v>45</v>
      </c>
      <c r="F1352">
        <v>91473</v>
      </c>
      <c r="G1352">
        <f>+YEAR(Tabla__192.168.1.8_POSEIDONSQL_APPFVT_01_SQLFacturasRendidas[[#This Row],[f_facturacion]])</f>
        <v>2018</v>
      </c>
      <c r="H135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52">
        <f>+IF(Tabla__192.168.1.8_POSEIDONSQL_APPFVT_01_SQLFacturasRendidas[[#This Row],[epc_nombre]]="RENDIDA",1,0)</f>
        <v>1</v>
      </c>
      <c r="J1352">
        <f>+IF(Tabla__192.168.1.8_POSEIDONSQL_APPFVT_01_SQLFacturasRendidas[[#This Row],[usu_codigo]]="","",1)</f>
        <v>1</v>
      </c>
    </row>
    <row r="1353" spans="1:10" x14ac:dyDescent="0.25">
      <c r="A1353">
        <v>1</v>
      </c>
      <c r="B1353">
        <v>3</v>
      </c>
      <c r="C1353" t="s">
        <v>81</v>
      </c>
      <c r="D1353" t="s">
        <v>15</v>
      </c>
      <c r="E1353" t="s">
        <v>45</v>
      </c>
      <c r="F1353">
        <v>91474</v>
      </c>
      <c r="G1353">
        <f>+YEAR(Tabla__192.168.1.8_POSEIDONSQL_APPFVT_01_SQLFacturasRendidas[[#This Row],[f_facturacion]])</f>
        <v>2018</v>
      </c>
      <c r="H135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53">
        <f>+IF(Tabla__192.168.1.8_POSEIDONSQL_APPFVT_01_SQLFacturasRendidas[[#This Row],[epc_nombre]]="RENDIDA",1,0)</f>
        <v>1</v>
      </c>
      <c r="J1353">
        <f>+IF(Tabla__192.168.1.8_POSEIDONSQL_APPFVT_01_SQLFacturasRendidas[[#This Row],[usu_codigo]]="","",1)</f>
        <v>1</v>
      </c>
    </row>
    <row r="1354" spans="1:10" x14ac:dyDescent="0.25">
      <c r="A1354">
        <v>1</v>
      </c>
      <c r="B1354">
        <v>3</v>
      </c>
      <c r="C1354" t="s">
        <v>81</v>
      </c>
      <c r="D1354" t="s">
        <v>15</v>
      </c>
      <c r="E1354" t="s">
        <v>45</v>
      </c>
      <c r="F1354">
        <v>91475</v>
      </c>
      <c r="G1354">
        <f>+YEAR(Tabla__192.168.1.8_POSEIDONSQL_APPFVT_01_SQLFacturasRendidas[[#This Row],[f_facturacion]])</f>
        <v>2018</v>
      </c>
      <c r="H135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54">
        <f>+IF(Tabla__192.168.1.8_POSEIDONSQL_APPFVT_01_SQLFacturasRendidas[[#This Row],[epc_nombre]]="RENDIDA",1,0)</f>
        <v>1</v>
      </c>
      <c r="J1354">
        <f>+IF(Tabla__192.168.1.8_POSEIDONSQL_APPFVT_01_SQLFacturasRendidas[[#This Row],[usu_codigo]]="","",1)</f>
        <v>1</v>
      </c>
    </row>
    <row r="1355" spans="1:10" x14ac:dyDescent="0.25">
      <c r="A1355">
        <v>1</v>
      </c>
      <c r="B1355">
        <v>3</v>
      </c>
      <c r="C1355" t="s">
        <v>81</v>
      </c>
      <c r="D1355" t="s">
        <v>15</v>
      </c>
      <c r="E1355" t="s">
        <v>45</v>
      </c>
      <c r="F1355">
        <v>91476</v>
      </c>
      <c r="G1355">
        <f>+YEAR(Tabla__192.168.1.8_POSEIDONSQL_APPFVT_01_SQLFacturasRendidas[[#This Row],[f_facturacion]])</f>
        <v>2018</v>
      </c>
      <c r="H135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55">
        <f>+IF(Tabla__192.168.1.8_POSEIDONSQL_APPFVT_01_SQLFacturasRendidas[[#This Row],[epc_nombre]]="RENDIDA",1,0)</f>
        <v>1</v>
      </c>
      <c r="J1355">
        <f>+IF(Tabla__192.168.1.8_POSEIDONSQL_APPFVT_01_SQLFacturasRendidas[[#This Row],[usu_codigo]]="","",1)</f>
        <v>1</v>
      </c>
    </row>
    <row r="1356" spans="1:10" x14ac:dyDescent="0.25">
      <c r="A1356">
        <v>1</v>
      </c>
      <c r="B1356">
        <v>3</v>
      </c>
      <c r="C1356" t="s">
        <v>81</v>
      </c>
      <c r="D1356" t="s">
        <v>15</v>
      </c>
      <c r="E1356" t="s">
        <v>45</v>
      </c>
      <c r="F1356">
        <v>91477</v>
      </c>
      <c r="G1356">
        <f>+YEAR(Tabla__192.168.1.8_POSEIDONSQL_APPFVT_01_SQLFacturasRendidas[[#This Row],[f_facturacion]])</f>
        <v>2018</v>
      </c>
      <c r="H135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56">
        <f>+IF(Tabla__192.168.1.8_POSEIDONSQL_APPFVT_01_SQLFacturasRendidas[[#This Row],[epc_nombre]]="RENDIDA",1,0)</f>
        <v>1</v>
      </c>
      <c r="J1356">
        <f>+IF(Tabla__192.168.1.8_POSEIDONSQL_APPFVT_01_SQLFacturasRendidas[[#This Row],[usu_codigo]]="","",1)</f>
        <v>1</v>
      </c>
    </row>
    <row r="1357" spans="1:10" x14ac:dyDescent="0.25">
      <c r="A1357">
        <v>1</v>
      </c>
      <c r="B1357">
        <v>3</v>
      </c>
      <c r="C1357" t="s">
        <v>81</v>
      </c>
      <c r="D1357" t="s">
        <v>15</v>
      </c>
      <c r="E1357" t="s">
        <v>45</v>
      </c>
      <c r="F1357">
        <v>91478</v>
      </c>
      <c r="G1357">
        <f>+YEAR(Tabla__192.168.1.8_POSEIDONSQL_APPFVT_01_SQLFacturasRendidas[[#This Row],[f_facturacion]])</f>
        <v>2018</v>
      </c>
      <c r="H135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57">
        <f>+IF(Tabla__192.168.1.8_POSEIDONSQL_APPFVT_01_SQLFacturasRendidas[[#This Row],[epc_nombre]]="RENDIDA",1,0)</f>
        <v>1</v>
      </c>
      <c r="J1357">
        <f>+IF(Tabla__192.168.1.8_POSEIDONSQL_APPFVT_01_SQLFacturasRendidas[[#This Row],[usu_codigo]]="","",1)</f>
        <v>1</v>
      </c>
    </row>
    <row r="1358" spans="1:10" x14ac:dyDescent="0.25">
      <c r="A1358">
        <v>1</v>
      </c>
      <c r="B1358">
        <v>3</v>
      </c>
      <c r="C1358" t="s">
        <v>81</v>
      </c>
      <c r="D1358" t="s">
        <v>15</v>
      </c>
      <c r="E1358" t="s">
        <v>45</v>
      </c>
      <c r="F1358">
        <v>91479</v>
      </c>
      <c r="G1358">
        <f>+YEAR(Tabla__192.168.1.8_POSEIDONSQL_APPFVT_01_SQLFacturasRendidas[[#This Row],[f_facturacion]])</f>
        <v>2018</v>
      </c>
      <c r="H135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58">
        <f>+IF(Tabla__192.168.1.8_POSEIDONSQL_APPFVT_01_SQLFacturasRendidas[[#This Row],[epc_nombre]]="RENDIDA",1,0)</f>
        <v>1</v>
      </c>
      <c r="J1358">
        <f>+IF(Tabla__192.168.1.8_POSEIDONSQL_APPFVT_01_SQLFacturasRendidas[[#This Row],[usu_codigo]]="","",1)</f>
        <v>1</v>
      </c>
    </row>
    <row r="1359" spans="1:10" x14ac:dyDescent="0.25">
      <c r="A1359">
        <v>1</v>
      </c>
      <c r="B1359">
        <v>3</v>
      </c>
      <c r="C1359" t="s">
        <v>81</v>
      </c>
      <c r="D1359" t="s">
        <v>15</v>
      </c>
      <c r="E1359" t="s">
        <v>45</v>
      </c>
      <c r="F1359">
        <v>91480</v>
      </c>
      <c r="G1359">
        <f>+YEAR(Tabla__192.168.1.8_POSEIDONSQL_APPFVT_01_SQLFacturasRendidas[[#This Row],[f_facturacion]])</f>
        <v>2018</v>
      </c>
      <c r="H135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59">
        <f>+IF(Tabla__192.168.1.8_POSEIDONSQL_APPFVT_01_SQLFacturasRendidas[[#This Row],[epc_nombre]]="RENDIDA",1,0)</f>
        <v>1</v>
      </c>
      <c r="J1359">
        <f>+IF(Tabla__192.168.1.8_POSEIDONSQL_APPFVT_01_SQLFacturasRendidas[[#This Row],[usu_codigo]]="","",1)</f>
        <v>1</v>
      </c>
    </row>
    <row r="1360" spans="1:10" x14ac:dyDescent="0.25">
      <c r="A1360">
        <v>1</v>
      </c>
      <c r="B1360">
        <v>3</v>
      </c>
      <c r="C1360" t="s">
        <v>81</v>
      </c>
      <c r="D1360" t="s">
        <v>15</v>
      </c>
      <c r="E1360" t="s">
        <v>45</v>
      </c>
      <c r="F1360">
        <v>91481</v>
      </c>
      <c r="G1360">
        <f>+YEAR(Tabla__192.168.1.8_POSEIDONSQL_APPFVT_01_SQLFacturasRendidas[[#This Row],[f_facturacion]])</f>
        <v>2018</v>
      </c>
      <c r="H136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60">
        <f>+IF(Tabla__192.168.1.8_POSEIDONSQL_APPFVT_01_SQLFacturasRendidas[[#This Row],[epc_nombre]]="RENDIDA",1,0)</f>
        <v>1</v>
      </c>
      <c r="J1360">
        <f>+IF(Tabla__192.168.1.8_POSEIDONSQL_APPFVT_01_SQLFacturasRendidas[[#This Row],[usu_codigo]]="","",1)</f>
        <v>1</v>
      </c>
    </row>
    <row r="1361" spans="1:10" x14ac:dyDescent="0.25">
      <c r="A1361">
        <v>1</v>
      </c>
      <c r="B1361">
        <v>3</v>
      </c>
      <c r="C1361" t="s">
        <v>81</v>
      </c>
      <c r="D1361" t="s">
        <v>15</v>
      </c>
      <c r="E1361" t="s">
        <v>45</v>
      </c>
      <c r="F1361">
        <v>91482</v>
      </c>
      <c r="G1361">
        <f>+YEAR(Tabla__192.168.1.8_POSEIDONSQL_APPFVT_01_SQLFacturasRendidas[[#This Row],[f_facturacion]])</f>
        <v>2018</v>
      </c>
      <c r="H136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61">
        <f>+IF(Tabla__192.168.1.8_POSEIDONSQL_APPFVT_01_SQLFacturasRendidas[[#This Row],[epc_nombre]]="RENDIDA",1,0)</f>
        <v>1</v>
      </c>
      <c r="J1361">
        <f>+IF(Tabla__192.168.1.8_POSEIDONSQL_APPFVT_01_SQLFacturasRendidas[[#This Row],[usu_codigo]]="","",1)</f>
        <v>1</v>
      </c>
    </row>
    <row r="1362" spans="1:10" x14ac:dyDescent="0.25">
      <c r="A1362">
        <v>1</v>
      </c>
      <c r="B1362">
        <v>3</v>
      </c>
      <c r="C1362" t="s">
        <v>81</v>
      </c>
      <c r="D1362" t="s">
        <v>15</v>
      </c>
      <c r="E1362" t="s">
        <v>45</v>
      </c>
      <c r="F1362">
        <v>91483</v>
      </c>
      <c r="G1362">
        <f>+YEAR(Tabla__192.168.1.8_POSEIDONSQL_APPFVT_01_SQLFacturasRendidas[[#This Row],[f_facturacion]])</f>
        <v>2018</v>
      </c>
      <c r="H136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62">
        <f>+IF(Tabla__192.168.1.8_POSEIDONSQL_APPFVT_01_SQLFacturasRendidas[[#This Row],[epc_nombre]]="RENDIDA",1,0)</f>
        <v>1</v>
      </c>
      <c r="J1362">
        <f>+IF(Tabla__192.168.1.8_POSEIDONSQL_APPFVT_01_SQLFacturasRendidas[[#This Row],[usu_codigo]]="","",1)</f>
        <v>1</v>
      </c>
    </row>
    <row r="1363" spans="1:10" x14ac:dyDescent="0.25">
      <c r="A1363">
        <v>1</v>
      </c>
      <c r="B1363">
        <v>3</v>
      </c>
      <c r="C1363" t="s">
        <v>81</v>
      </c>
      <c r="D1363" t="s">
        <v>15</v>
      </c>
      <c r="E1363" t="s">
        <v>45</v>
      </c>
      <c r="F1363">
        <v>91484</v>
      </c>
      <c r="G1363">
        <f>+YEAR(Tabla__192.168.1.8_POSEIDONSQL_APPFVT_01_SQLFacturasRendidas[[#This Row],[f_facturacion]])</f>
        <v>2018</v>
      </c>
      <c r="H136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63">
        <f>+IF(Tabla__192.168.1.8_POSEIDONSQL_APPFVT_01_SQLFacturasRendidas[[#This Row],[epc_nombre]]="RENDIDA",1,0)</f>
        <v>1</v>
      </c>
      <c r="J1363">
        <f>+IF(Tabla__192.168.1.8_POSEIDONSQL_APPFVT_01_SQLFacturasRendidas[[#This Row],[usu_codigo]]="","",1)</f>
        <v>1</v>
      </c>
    </row>
    <row r="1364" spans="1:10" x14ac:dyDescent="0.25">
      <c r="A1364">
        <v>1</v>
      </c>
      <c r="B1364">
        <v>3</v>
      </c>
      <c r="C1364" t="s">
        <v>81</v>
      </c>
      <c r="D1364" t="s">
        <v>15</v>
      </c>
      <c r="E1364" t="s">
        <v>45</v>
      </c>
      <c r="F1364">
        <v>91485</v>
      </c>
      <c r="G1364">
        <f>+YEAR(Tabla__192.168.1.8_POSEIDONSQL_APPFVT_01_SQLFacturasRendidas[[#This Row],[f_facturacion]])</f>
        <v>2018</v>
      </c>
      <c r="H136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64">
        <f>+IF(Tabla__192.168.1.8_POSEIDONSQL_APPFVT_01_SQLFacturasRendidas[[#This Row],[epc_nombre]]="RENDIDA",1,0)</f>
        <v>1</v>
      </c>
      <c r="J1364">
        <f>+IF(Tabla__192.168.1.8_POSEIDONSQL_APPFVT_01_SQLFacturasRendidas[[#This Row],[usu_codigo]]="","",1)</f>
        <v>1</v>
      </c>
    </row>
    <row r="1365" spans="1:10" x14ac:dyDescent="0.25">
      <c r="A1365">
        <v>1</v>
      </c>
      <c r="B1365">
        <v>3</v>
      </c>
      <c r="C1365" t="s">
        <v>81</v>
      </c>
      <c r="D1365" t="s">
        <v>15</v>
      </c>
      <c r="E1365" t="s">
        <v>45</v>
      </c>
      <c r="F1365">
        <v>91486</v>
      </c>
      <c r="G1365">
        <f>+YEAR(Tabla__192.168.1.8_POSEIDONSQL_APPFVT_01_SQLFacturasRendidas[[#This Row],[f_facturacion]])</f>
        <v>2018</v>
      </c>
      <c r="H136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65">
        <f>+IF(Tabla__192.168.1.8_POSEIDONSQL_APPFVT_01_SQLFacturasRendidas[[#This Row],[epc_nombre]]="RENDIDA",1,0)</f>
        <v>1</v>
      </c>
      <c r="J1365">
        <f>+IF(Tabla__192.168.1.8_POSEIDONSQL_APPFVT_01_SQLFacturasRendidas[[#This Row],[usu_codigo]]="","",1)</f>
        <v>1</v>
      </c>
    </row>
    <row r="1366" spans="1:10" x14ac:dyDescent="0.25">
      <c r="A1366">
        <v>1</v>
      </c>
      <c r="B1366">
        <v>3</v>
      </c>
      <c r="C1366" t="s">
        <v>81</v>
      </c>
      <c r="D1366" t="s">
        <v>15</v>
      </c>
      <c r="E1366" t="s">
        <v>45</v>
      </c>
      <c r="F1366">
        <v>91487</v>
      </c>
      <c r="G1366">
        <f>+YEAR(Tabla__192.168.1.8_POSEIDONSQL_APPFVT_01_SQLFacturasRendidas[[#This Row],[f_facturacion]])</f>
        <v>2018</v>
      </c>
      <c r="H136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66">
        <f>+IF(Tabla__192.168.1.8_POSEIDONSQL_APPFVT_01_SQLFacturasRendidas[[#This Row],[epc_nombre]]="RENDIDA",1,0)</f>
        <v>1</v>
      </c>
      <c r="J1366">
        <f>+IF(Tabla__192.168.1.8_POSEIDONSQL_APPFVT_01_SQLFacturasRendidas[[#This Row],[usu_codigo]]="","",1)</f>
        <v>1</v>
      </c>
    </row>
    <row r="1367" spans="1:10" x14ac:dyDescent="0.25">
      <c r="A1367">
        <v>1</v>
      </c>
      <c r="B1367">
        <v>3</v>
      </c>
      <c r="C1367" t="s">
        <v>81</v>
      </c>
      <c r="D1367" t="s">
        <v>15</v>
      </c>
      <c r="E1367" t="s">
        <v>45</v>
      </c>
      <c r="F1367">
        <v>91488</v>
      </c>
      <c r="G1367">
        <f>+YEAR(Tabla__192.168.1.8_POSEIDONSQL_APPFVT_01_SQLFacturasRendidas[[#This Row],[f_facturacion]])</f>
        <v>2018</v>
      </c>
      <c r="H136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67">
        <f>+IF(Tabla__192.168.1.8_POSEIDONSQL_APPFVT_01_SQLFacturasRendidas[[#This Row],[epc_nombre]]="RENDIDA",1,0)</f>
        <v>1</v>
      </c>
      <c r="J1367">
        <f>+IF(Tabla__192.168.1.8_POSEIDONSQL_APPFVT_01_SQLFacturasRendidas[[#This Row],[usu_codigo]]="","",1)</f>
        <v>1</v>
      </c>
    </row>
    <row r="1368" spans="1:10" x14ac:dyDescent="0.25">
      <c r="A1368">
        <v>1</v>
      </c>
      <c r="B1368">
        <v>3</v>
      </c>
      <c r="C1368" t="s">
        <v>81</v>
      </c>
      <c r="D1368" t="s">
        <v>15</v>
      </c>
      <c r="E1368" t="s">
        <v>45</v>
      </c>
      <c r="F1368">
        <v>91489</v>
      </c>
      <c r="G1368">
        <f>+YEAR(Tabla__192.168.1.8_POSEIDONSQL_APPFVT_01_SQLFacturasRendidas[[#This Row],[f_facturacion]])</f>
        <v>2018</v>
      </c>
      <c r="H136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68">
        <f>+IF(Tabla__192.168.1.8_POSEIDONSQL_APPFVT_01_SQLFacturasRendidas[[#This Row],[epc_nombre]]="RENDIDA",1,0)</f>
        <v>1</v>
      </c>
      <c r="J1368">
        <f>+IF(Tabla__192.168.1.8_POSEIDONSQL_APPFVT_01_SQLFacturasRendidas[[#This Row],[usu_codigo]]="","",1)</f>
        <v>1</v>
      </c>
    </row>
    <row r="1369" spans="1:10" x14ac:dyDescent="0.25">
      <c r="A1369">
        <v>1</v>
      </c>
      <c r="B1369">
        <v>3</v>
      </c>
      <c r="C1369" t="s">
        <v>81</v>
      </c>
      <c r="D1369" t="s">
        <v>15</v>
      </c>
      <c r="E1369" t="s">
        <v>45</v>
      </c>
      <c r="F1369">
        <v>91490</v>
      </c>
      <c r="G1369">
        <f>+YEAR(Tabla__192.168.1.8_POSEIDONSQL_APPFVT_01_SQLFacturasRendidas[[#This Row],[f_facturacion]])</f>
        <v>2018</v>
      </c>
      <c r="H136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69">
        <f>+IF(Tabla__192.168.1.8_POSEIDONSQL_APPFVT_01_SQLFacturasRendidas[[#This Row],[epc_nombre]]="RENDIDA",1,0)</f>
        <v>1</v>
      </c>
      <c r="J1369">
        <f>+IF(Tabla__192.168.1.8_POSEIDONSQL_APPFVT_01_SQLFacturasRendidas[[#This Row],[usu_codigo]]="","",1)</f>
        <v>1</v>
      </c>
    </row>
    <row r="1370" spans="1:10" x14ac:dyDescent="0.25">
      <c r="A1370">
        <v>1</v>
      </c>
      <c r="B1370">
        <v>3</v>
      </c>
      <c r="C1370" t="s">
        <v>81</v>
      </c>
      <c r="D1370" t="s">
        <v>15</v>
      </c>
      <c r="E1370" t="s">
        <v>45</v>
      </c>
      <c r="F1370">
        <v>91491</v>
      </c>
      <c r="G1370">
        <f>+YEAR(Tabla__192.168.1.8_POSEIDONSQL_APPFVT_01_SQLFacturasRendidas[[#This Row],[f_facturacion]])</f>
        <v>2018</v>
      </c>
      <c r="H137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70">
        <f>+IF(Tabla__192.168.1.8_POSEIDONSQL_APPFVT_01_SQLFacturasRendidas[[#This Row],[epc_nombre]]="RENDIDA",1,0)</f>
        <v>1</v>
      </c>
      <c r="J1370">
        <f>+IF(Tabla__192.168.1.8_POSEIDONSQL_APPFVT_01_SQLFacturasRendidas[[#This Row],[usu_codigo]]="","",1)</f>
        <v>1</v>
      </c>
    </row>
    <row r="1371" spans="1:10" x14ac:dyDescent="0.25">
      <c r="A1371">
        <v>1</v>
      </c>
      <c r="B1371">
        <v>3</v>
      </c>
      <c r="C1371" t="s">
        <v>81</v>
      </c>
      <c r="D1371" t="s">
        <v>15</v>
      </c>
      <c r="E1371" t="s">
        <v>45</v>
      </c>
      <c r="F1371">
        <v>91492</v>
      </c>
      <c r="G1371">
        <f>+YEAR(Tabla__192.168.1.8_POSEIDONSQL_APPFVT_01_SQLFacturasRendidas[[#This Row],[f_facturacion]])</f>
        <v>2018</v>
      </c>
      <c r="H137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71">
        <f>+IF(Tabla__192.168.1.8_POSEIDONSQL_APPFVT_01_SQLFacturasRendidas[[#This Row],[epc_nombre]]="RENDIDA",1,0)</f>
        <v>1</v>
      </c>
      <c r="J1371">
        <f>+IF(Tabla__192.168.1.8_POSEIDONSQL_APPFVT_01_SQLFacturasRendidas[[#This Row],[usu_codigo]]="","",1)</f>
        <v>1</v>
      </c>
    </row>
    <row r="1372" spans="1:10" x14ac:dyDescent="0.25">
      <c r="A1372">
        <v>1</v>
      </c>
      <c r="B1372">
        <v>3</v>
      </c>
      <c r="C1372" t="s">
        <v>81</v>
      </c>
      <c r="D1372" t="s">
        <v>15</v>
      </c>
      <c r="E1372" t="s">
        <v>45</v>
      </c>
      <c r="F1372">
        <v>91493</v>
      </c>
      <c r="G1372">
        <f>+YEAR(Tabla__192.168.1.8_POSEIDONSQL_APPFVT_01_SQLFacturasRendidas[[#This Row],[f_facturacion]])</f>
        <v>2018</v>
      </c>
      <c r="H137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72">
        <f>+IF(Tabla__192.168.1.8_POSEIDONSQL_APPFVT_01_SQLFacturasRendidas[[#This Row],[epc_nombre]]="RENDIDA",1,0)</f>
        <v>1</v>
      </c>
      <c r="J1372">
        <f>+IF(Tabla__192.168.1.8_POSEIDONSQL_APPFVT_01_SQLFacturasRendidas[[#This Row],[usu_codigo]]="","",1)</f>
        <v>1</v>
      </c>
    </row>
    <row r="1373" spans="1:10" x14ac:dyDescent="0.25">
      <c r="A1373">
        <v>1</v>
      </c>
      <c r="B1373">
        <v>3</v>
      </c>
      <c r="C1373" t="s">
        <v>81</v>
      </c>
      <c r="D1373" t="s">
        <v>15</v>
      </c>
      <c r="E1373" t="s">
        <v>45</v>
      </c>
      <c r="F1373">
        <v>91494</v>
      </c>
      <c r="G1373">
        <f>+YEAR(Tabla__192.168.1.8_POSEIDONSQL_APPFVT_01_SQLFacturasRendidas[[#This Row],[f_facturacion]])</f>
        <v>2018</v>
      </c>
      <c r="H137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73">
        <f>+IF(Tabla__192.168.1.8_POSEIDONSQL_APPFVT_01_SQLFacturasRendidas[[#This Row],[epc_nombre]]="RENDIDA",1,0)</f>
        <v>1</v>
      </c>
      <c r="J1373">
        <f>+IF(Tabla__192.168.1.8_POSEIDONSQL_APPFVT_01_SQLFacturasRendidas[[#This Row],[usu_codigo]]="","",1)</f>
        <v>1</v>
      </c>
    </row>
    <row r="1374" spans="1:10" x14ac:dyDescent="0.25">
      <c r="A1374">
        <v>1</v>
      </c>
      <c r="B1374">
        <v>3</v>
      </c>
      <c r="C1374" t="s">
        <v>81</v>
      </c>
      <c r="D1374" t="s">
        <v>15</v>
      </c>
      <c r="E1374" t="s">
        <v>45</v>
      </c>
      <c r="F1374">
        <v>91495</v>
      </c>
      <c r="G1374">
        <f>+YEAR(Tabla__192.168.1.8_POSEIDONSQL_APPFVT_01_SQLFacturasRendidas[[#This Row],[f_facturacion]])</f>
        <v>2018</v>
      </c>
      <c r="H137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74">
        <f>+IF(Tabla__192.168.1.8_POSEIDONSQL_APPFVT_01_SQLFacturasRendidas[[#This Row],[epc_nombre]]="RENDIDA",1,0)</f>
        <v>1</v>
      </c>
      <c r="J1374">
        <f>+IF(Tabla__192.168.1.8_POSEIDONSQL_APPFVT_01_SQLFacturasRendidas[[#This Row],[usu_codigo]]="","",1)</f>
        <v>1</v>
      </c>
    </row>
    <row r="1375" spans="1:10" x14ac:dyDescent="0.25">
      <c r="A1375">
        <v>1</v>
      </c>
      <c r="B1375">
        <v>3</v>
      </c>
      <c r="C1375" t="s">
        <v>81</v>
      </c>
      <c r="D1375" t="s">
        <v>15</v>
      </c>
      <c r="E1375" t="s">
        <v>45</v>
      </c>
      <c r="F1375">
        <v>91496</v>
      </c>
      <c r="G1375">
        <f>+YEAR(Tabla__192.168.1.8_POSEIDONSQL_APPFVT_01_SQLFacturasRendidas[[#This Row],[f_facturacion]])</f>
        <v>2018</v>
      </c>
      <c r="H137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75">
        <f>+IF(Tabla__192.168.1.8_POSEIDONSQL_APPFVT_01_SQLFacturasRendidas[[#This Row],[epc_nombre]]="RENDIDA",1,0)</f>
        <v>1</v>
      </c>
      <c r="J1375">
        <f>+IF(Tabla__192.168.1.8_POSEIDONSQL_APPFVT_01_SQLFacturasRendidas[[#This Row],[usu_codigo]]="","",1)</f>
        <v>1</v>
      </c>
    </row>
    <row r="1376" spans="1:10" x14ac:dyDescent="0.25">
      <c r="A1376">
        <v>1</v>
      </c>
      <c r="B1376">
        <v>3</v>
      </c>
      <c r="C1376" t="s">
        <v>11</v>
      </c>
      <c r="D1376" t="s">
        <v>15</v>
      </c>
      <c r="E1376" t="s">
        <v>41</v>
      </c>
      <c r="F1376">
        <v>3426</v>
      </c>
      <c r="G1376">
        <f>+YEAR(Tabla__192.168.1.8_POSEIDONSQL_APPFVT_01_SQLFacturasRendidas[[#This Row],[f_facturacion]])</f>
        <v>2018</v>
      </c>
      <c r="H137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76">
        <f>+IF(Tabla__192.168.1.8_POSEIDONSQL_APPFVT_01_SQLFacturasRendidas[[#This Row],[epc_nombre]]="RENDIDA",1,0)</f>
        <v>1</v>
      </c>
      <c r="J1376">
        <f>+IF(Tabla__192.168.1.8_POSEIDONSQL_APPFVT_01_SQLFacturasRendidas[[#This Row],[usu_codigo]]="","",1)</f>
        <v>1</v>
      </c>
    </row>
    <row r="1377" spans="1:10" x14ac:dyDescent="0.25">
      <c r="A1377">
        <v>1</v>
      </c>
      <c r="B1377">
        <v>3</v>
      </c>
      <c r="C1377" t="s">
        <v>11</v>
      </c>
      <c r="D1377" t="s">
        <v>15</v>
      </c>
      <c r="E1377" t="s">
        <v>41</v>
      </c>
      <c r="F1377">
        <v>3427</v>
      </c>
      <c r="G1377">
        <f>+YEAR(Tabla__192.168.1.8_POSEIDONSQL_APPFVT_01_SQLFacturasRendidas[[#This Row],[f_facturacion]])</f>
        <v>2018</v>
      </c>
      <c r="H137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77">
        <f>+IF(Tabla__192.168.1.8_POSEIDONSQL_APPFVT_01_SQLFacturasRendidas[[#This Row],[epc_nombre]]="RENDIDA",1,0)</f>
        <v>1</v>
      </c>
      <c r="J1377">
        <f>+IF(Tabla__192.168.1.8_POSEIDONSQL_APPFVT_01_SQLFacturasRendidas[[#This Row],[usu_codigo]]="","",1)</f>
        <v>1</v>
      </c>
    </row>
    <row r="1378" spans="1:10" x14ac:dyDescent="0.25">
      <c r="A1378">
        <v>1</v>
      </c>
      <c r="B1378">
        <v>3</v>
      </c>
      <c r="C1378" t="s">
        <v>11</v>
      </c>
      <c r="D1378" t="s">
        <v>15</v>
      </c>
      <c r="E1378" t="s">
        <v>41</v>
      </c>
      <c r="F1378">
        <v>3428</v>
      </c>
      <c r="G1378">
        <f>+YEAR(Tabla__192.168.1.8_POSEIDONSQL_APPFVT_01_SQLFacturasRendidas[[#This Row],[f_facturacion]])</f>
        <v>2018</v>
      </c>
      <c r="H137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78">
        <f>+IF(Tabla__192.168.1.8_POSEIDONSQL_APPFVT_01_SQLFacturasRendidas[[#This Row],[epc_nombre]]="RENDIDA",1,0)</f>
        <v>1</v>
      </c>
      <c r="J1378">
        <f>+IF(Tabla__192.168.1.8_POSEIDONSQL_APPFVT_01_SQLFacturasRendidas[[#This Row],[usu_codigo]]="","",1)</f>
        <v>1</v>
      </c>
    </row>
    <row r="1379" spans="1:10" x14ac:dyDescent="0.25">
      <c r="A1379">
        <v>1</v>
      </c>
      <c r="B1379">
        <v>3</v>
      </c>
      <c r="C1379" t="s">
        <v>11</v>
      </c>
      <c r="D1379" t="s">
        <v>15</v>
      </c>
      <c r="E1379" t="s">
        <v>41</v>
      </c>
      <c r="F1379">
        <v>3429</v>
      </c>
      <c r="G1379">
        <f>+YEAR(Tabla__192.168.1.8_POSEIDONSQL_APPFVT_01_SQLFacturasRendidas[[#This Row],[f_facturacion]])</f>
        <v>2018</v>
      </c>
      <c r="H137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79">
        <f>+IF(Tabla__192.168.1.8_POSEIDONSQL_APPFVT_01_SQLFacturasRendidas[[#This Row],[epc_nombre]]="RENDIDA",1,0)</f>
        <v>1</v>
      </c>
      <c r="J1379">
        <f>+IF(Tabla__192.168.1.8_POSEIDONSQL_APPFVT_01_SQLFacturasRendidas[[#This Row],[usu_codigo]]="","",1)</f>
        <v>1</v>
      </c>
    </row>
    <row r="1380" spans="1:10" x14ac:dyDescent="0.25">
      <c r="A1380">
        <v>1</v>
      </c>
      <c r="B1380">
        <v>3</v>
      </c>
      <c r="C1380" t="s">
        <v>11</v>
      </c>
      <c r="D1380" t="s">
        <v>15</v>
      </c>
      <c r="E1380" t="s">
        <v>41</v>
      </c>
      <c r="F1380">
        <v>3430</v>
      </c>
      <c r="G1380">
        <f>+YEAR(Tabla__192.168.1.8_POSEIDONSQL_APPFVT_01_SQLFacturasRendidas[[#This Row],[f_facturacion]])</f>
        <v>2018</v>
      </c>
      <c r="H138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80">
        <f>+IF(Tabla__192.168.1.8_POSEIDONSQL_APPFVT_01_SQLFacturasRendidas[[#This Row],[epc_nombre]]="RENDIDA",1,0)</f>
        <v>1</v>
      </c>
      <c r="J1380">
        <f>+IF(Tabla__192.168.1.8_POSEIDONSQL_APPFVT_01_SQLFacturasRendidas[[#This Row],[usu_codigo]]="","",1)</f>
        <v>1</v>
      </c>
    </row>
    <row r="1381" spans="1:10" x14ac:dyDescent="0.25">
      <c r="A1381">
        <v>1</v>
      </c>
      <c r="B1381">
        <v>3</v>
      </c>
      <c r="C1381" t="s">
        <v>11</v>
      </c>
      <c r="D1381" t="s">
        <v>15</v>
      </c>
      <c r="E1381" t="s">
        <v>41</v>
      </c>
      <c r="F1381">
        <v>3431</v>
      </c>
      <c r="G1381">
        <f>+YEAR(Tabla__192.168.1.8_POSEIDONSQL_APPFVT_01_SQLFacturasRendidas[[#This Row],[f_facturacion]])</f>
        <v>2018</v>
      </c>
      <c r="H138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81">
        <f>+IF(Tabla__192.168.1.8_POSEIDONSQL_APPFVT_01_SQLFacturasRendidas[[#This Row],[epc_nombre]]="RENDIDA",1,0)</f>
        <v>1</v>
      </c>
      <c r="J1381">
        <f>+IF(Tabla__192.168.1.8_POSEIDONSQL_APPFVT_01_SQLFacturasRendidas[[#This Row],[usu_codigo]]="","",1)</f>
        <v>1</v>
      </c>
    </row>
    <row r="1382" spans="1:10" x14ac:dyDescent="0.25">
      <c r="A1382">
        <v>1</v>
      </c>
      <c r="B1382">
        <v>3</v>
      </c>
      <c r="C1382" t="s">
        <v>11</v>
      </c>
      <c r="D1382" t="s">
        <v>15</v>
      </c>
      <c r="E1382" t="s">
        <v>41</v>
      </c>
      <c r="F1382">
        <v>3432</v>
      </c>
      <c r="G1382">
        <f>+YEAR(Tabla__192.168.1.8_POSEIDONSQL_APPFVT_01_SQLFacturasRendidas[[#This Row],[f_facturacion]])</f>
        <v>2018</v>
      </c>
      <c r="H138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82">
        <f>+IF(Tabla__192.168.1.8_POSEIDONSQL_APPFVT_01_SQLFacturasRendidas[[#This Row],[epc_nombre]]="RENDIDA",1,0)</f>
        <v>1</v>
      </c>
      <c r="J1382">
        <f>+IF(Tabla__192.168.1.8_POSEIDONSQL_APPFVT_01_SQLFacturasRendidas[[#This Row],[usu_codigo]]="","",1)</f>
        <v>1</v>
      </c>
    </row>
    <row r="1383" spans="1:10" x14ac:dyDescent="0.25">
      <c r="A1383">
        <v>1</v>
      </c>
      <c r="B1383">
        <v>3</v>
      </c>
      <c r="C1383" t="s">
        <v>11</v>
      </c>
      <c r="D1383" t="s">
        <v>15</v>
      </c>
      <c r="E1383" t="s">
        <v>41</v>
      </c>
      <c r="F1383">
        <v>3433</v>
      </c>
      <c r="G1383">
        <f>+YEAR(Tabla__192.168.1.8_POSEIDONSQL_APPFVT_01_SQLFacturasRendidas[[#This Row],[f_facturacion]])</f>
        <v>2018</v>
      </c>
      <c r="H138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83">
        <f>+IF(Tabla__192.168.1.8_POSEIDONSQL_APPFVT_01_SQLFacturasRendidas[[#This Row],[epc_nombre]]="RENDIDA",1,0)</f>
        <v>1</v>
      </c>
      <c r="J1383">
        <f>+IF(Tabla__192.168.1.8_POSEIDONSQL_APPFVT_01_SQLFacturasRendidas[[#This Row],[usu_codigo]]="","",1)</f>
        <v>1</v>
      </c>
    </row>
    <row r="1384" spans="1:10" x14ac:dyDescent="0.25">
      <c r="A1384">
        <v>1</v>
      </c>
      <c r="B1384">
        <v>3</v>
      </c>
      <c r="C1384" t="s">
        <v>11</v>
      </c>
      <c r="D1384" t="s">
        <v>15</v>
      </c>
      <c r="E1384" t="s">
        <v>41</v>
      </c>
      <c r="F1384">
        <v>3434</v>
      </c>
      <c r="G1384">
        <f>+YEAR(Tabla__192.168.1.8_POSEIDONSQL_APPFVT_01_SQLFacturasRendidas[[#This Row],[f_facturacion]])</f>
        <v>2018</v>
      </c>
      <c r="H138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84">
        <f>+IF(Tabla__192.168.1.8_POSEIDONSQL_APPFVT_01_SQLFacturasRendidas[[#This Row],[epc_nombre]]="RENDIDA",1,0)</f>
        <v>1</v>
      </c>
      <c r="J1384">
        <f>+IF(Tabla__192.168.1.8_POSEIDONSQL_APPFVT_01_SQLFacturasRendidas[[#This Row],[usu_codigo]]="","",1)</f>
        <v>1</v>
      </c>
    </row>
    <row r="1385" spans="1:10" x14ac:dyDescent="0.25">
      <c r="A1385">
        <v>1</v>
      </c>
      <c r="B1385">
        <v>3</v>
      </c>
      <c r="C1385" t="s">
        <v>11</v>
      </c>
      <c r="D1385" t="s">
        <v>15</v>
      </c>
      <c r="E1385" t="s">
        <v>41</v>
      </c>
      <c r="F1385">
        <v>3435</v>
      </c>
      <c r="G1385">
        <f>+YEAR(Tabla__192.168.1.8_POSEIDONSQL_APPFVT_01_SQLFacturasRendidas[[#This Row],[f_facturacion]])</f>
        <v>2018</v>
      </c>
      <c r="H138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85">
        <f>+IF(Tabla__192.168.1.8_POSEIDONSQL_APPFVT_01_SQLFacturasRendidas[[#This Row],[epc_nombre]]="RENDIDA",1,0)</f>
        <v>1</v>
      </c>
      <c r="J1385">
        <f>+IF(Tabla__192.168.1.8_POSEIDONSQL_APPFVT_01_SQLFacturasRendidas[[#This Row],[usu_codigo]]="","",1)</f>
        <v>1</v>
      </c>
    </row>
    <row r="1386" spans="1:10" x14ac:dyDescent="0.25">
      <c r="A1386">
        <v>1</v>
      </c>
      <c r="B1386">
        <v>3</v>
      </c>
      <c r="C1386" t="s">
        <v>11</v>
      </c>
      <c r="D1386" t="s">
        <v>15</v>
      </c>
      <c r="E1386" t="s">
        <v>41</v>
      </c>
      <c r="F1386">
        <v>3436</v>
      </c>
      <c r="G1386">
        <f>+YEAR(Tabla__192.168.1.8_POSEIDONSQL_APPFVT_01_SQLFacturasRendidas[[#This Row],[f_facturacion]])</f>
        <v>2018</v>
      </c>
      <c r="H138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86">
        <f>+IF(Tabla__192.168.1.8_POSEIDONSQL_APPFVT_01_SQLFacturasRendidas[[#This Row],[epc_nombre]]="RENDIDA",1,0)</f>
        <v>1</v>
      </c>
      <c r="J1386">
        <f>+IF(Tabla__192.168.1.8_POSEIDONSQL_APPFVT_01_SQLFacturasRendidas[[#This Row],[usu_codigo]]="","",1)</f>
        <v>1</v>
      </c>
    </row>
    <row r="1387" spans="1:10" x14ac:dyDescent="0.25">
      <c r="A1387">
        <v>1</v>
      </c>
      <c r="B1387">
        <v>3</v>
      </c>
      <c r="C1387" t="s">
        <v>11</v>
      </c>
      <c r="D1387" t="s">
        <v>15</v>
      </c>
      <c r="E1387" t="s">
        <v>41</v>
      </c>
      <c r="F1387">
        <v>3437</v>
      </c>
      <c r="G1387">
        <f>+YEAR(Tabla__192.168.1.8_POSEIDONSQL_APPFVT_01_SQLFacturasRendidas[[#This Row],[f_facturacion]])</f>
        <v>2018</v>
      </c>
      <c r="H138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87">
        <f>+IF(Tabla__192.168.1.8_POSEIDONSQL_APPFVT_01_SQLFacturasRendidas[[#This Row],[epc_nombre]]="RENDIDA",1,0)</f>
        <v>1</v>
      </c>
      <c r="J1387">
        <f>+IF(Tabla__192.168.1.8_POSEIDONSQL_APPFVT_01_SQLFacturasRendidas[[#This Row],[usu_codigo]]="","",1)</f>
        <v>1</v>
      </c>
    </row>
    <row r="1388" spans="1:10" x14ac:dyDescent="0.25">
      <c r="A1388">
        <v>1</v>
      </c>
      <c r="B1388">
        <v>3</v>
      </c>
      <c r="C1388" t="s">
        <v>11</v>
      </c>
      <c r="D1388" t="s">
        <v>15</v>
      </c>
      <c r="E1388" t="s">
        <v>41</v>
      </c>
      <c r="F1388">
        <v>3438</v>
      </c>
      <c r="G1388">
        <f>+YEAR(Tabla__192.168.1.8_POSEIDONSQL_APPFVT_01_SQLFacturasRendidas[[#This Row],[f_facturacion]])</f>
        <v>2018</v>
      </c>
      <c r="H138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88">
        <f>+IF(Tabla__192.168.1.8_POSEIDONSQL_APPFVT_01_SQLFacturasRendidas[[#This Row],[epc_nombre]]="RENDIDA",1,0)</f>
        <v>1</v>
      </c>
      <c r="J1388">
        <f>+IF(Tabla__192.168.1.8_POSEIDONSQL_APPFVT_01_SQLFacturasRendidas[[#This Row],[usu_codigo]]="","",1)</f>
        <v>1</v>
      </c>
    </row>
    <row r="1389" spans="1:10" x14ac:dyDescent="0.25">
      <c r="A1389">
        <v>1</v>
      </c>
      <c r="B1389">
        <v>3</v>
      </c>
      <c r="C1389" t="s">
        <v>11</v>
      </c>
      <c r="D1389" t="s">
        <v>15</v>
      </c>
      <c r="E1389" t="s">
        <v>41</v>
      </c>
      <c r="F1389">
        <v>3439</v>
      </c>
      <c r="G1389">
        <f>+YEAR(Tabla__192.168.1.8_POSEIDONSQL_APPFVT_01_SQLFacturasRendidas[[#This Row],[f_facturacion]])</f>
        <v>2018</v>
      </c>
      <c r="H138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89">
        <f>+IF(Tabla__192.168.1.8_POSEIDONSQL_APPFVT_01_SQLFacturasRendidas[[#This Row],[epc_nombre]]="RENDIDA",1,0)</f>
        <v>1</v>
      </c>
      <c r="J1389">
        <f>+IF(Tabla__192.168.1.8_POSEIDONSQL_APPFVT_01_SQLFacturasRendidas[[#This Row],[usu_codigo]]="","",1)</f>
        <v>1</v>
      </c>
    </row>
    <row r="1390" spans="1:10" x14ac:dyDescent="0.25">
      <c r="A1390">
        <v>1</v>
      </c>
      <c r="B1390">
        <v>3</v>
      </c>
      <c r="C1390" t="s">
        <v>11</v>
      </c>
      <c r="D1390" t="s">
        <v>15</v>
      </c>
      <c r="E1390" t="s">
        <v>41</v>
      </c>
      <c r="F1390">
        <v>3440</v>
      </c>
      <c r="G1390">
        <f>+YEAR(Tabla__192.168.1.8_POSEIDONSQL_APPFVT_01_SQLFacturasRendidas[[#This Row],[f_facturacion]])</f>
        <v>2018</v>
      </c>
      <c r="H139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90">
        <f>+IF(Tabla__192.168.1.8_POSEIDONSQL_APPFVT_01_SQLFacturasRendidas[[#This Row],[epc_nombre]]="RENDIDA",1,0)</f>
        <v>1</v>
      </c>
      <c r="J1390">
        <f>+IF(Tabla__192.168.1.8_POSEIDONSQL_APPFVT_01_SQLFacturasRendidas[[#This Row],[usu_codigo]]="","",1)</f>
        <v>1</v>
      </c>
    </row>
    <row r="1391" spans="1:10" x14ac:dyDescent="0.25">
      <c r="A1391">
        <v>1</v>
      </c>
      <c r="B1391">
        <v>3</v>
      </c>
      <c r="C1391" t="s">
        <v>11</v>
      </c>
      <c r="D1391" t="s">
        <v>15</v>
      </c>
      <c r="E1391" t="s">
        <v>41</v>
      </c>
      <c r="F1391">
        <v>3441</v>
      </c>
      <c r="G1391">
        <f>+YEAR(Tabla__192.168.1.8_POSEIDONSQL_APPFVT_01_SQLFacturasRendidas[[#This Row],[f_facturacion]])</f>
        <v>2018</v>
      </c>
      <c r="H139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91">
        <f>+IF(Tabla__192.168.1.8_POSEIDONSQL_APPFVT_01_SQLFacturasRendidas[[#This Row],[epc_nombre]]="RENDIDA",1,0)</f>
        <v>1</v>
      </c>
      <c r="J1391">
        <f>+IF(Tabla__192.168.1.8_POSEIDONSQL_APPFVT_01_SQLFacturasRendidas[[#This Row],[usu_codigo]]="","",1)</f>
        <v>1</v>
      </c>
    </row>
    <row r="1392" spans="1:10" x14ac:dyDescent="0.25">
      <c r="A1392">
        <v>1</v>
      </c>
      <c r="B1392">
        <v>3</v>
      </c>
      <c r="C1392" t="s">
        <v>11</v>
      </c>
      <c r="D1392" t="s">
        <v>15</v>
      </c>
      <c r="E1392" t="s">
        <v>41</v>
      </c>
      <c r="F1392">
        <v>3442</v>
      </c>
      <c r="G1392">
        <f>+YEAR(Tabla__192.168.1.8_POSEIDONSQL_APPFVT_01_SQLFacturasRendidas[[#This Row],[f_facturacion]])</f>
        <v>2018</v>
      </c>
      <c r="H139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92">
        <f>+IF(Tabla__192.168.1.8_POSEIDONSQL_APPFVT_01_SQLFacturasRendidas[[#This Row],[epc_nombre]]="RENDIDA",1,0)</f>
        <v>1</v>
      </c>
      <c r="J1392">
        <f>+IF(Tabla__192.168.1.8_POSEIDONSQL_APPFVT_01_SQLFacturasRendidas[[#This Row],[usu_codigo]]="","",1)</f>
        <v>1</v>
      </c>
    </row>
    <row r="1393" spans="1:10" x14ac:dyDescent="0.25">
      <c r="A1393">
        <v>1</v>
      </c>
      <c r="B1393">
        <v>3</v>
      </c>
      <c r="C1393" t="s">
        <v>11</v>
      </c>
      <c r="D1393" t="s">
        <v>15</v>
      </c>
      <c r="E1393" t="s">
        <v>41</v>
      </c>
      <c r="F1393">
        <v>3443</v>
      </c>
      <c r="G1393">
        <f>+YEAR(Tabla__192.168.1.8_POSEIDONSQL_APPFVT_01_SQLFacturasRendidas[[#This Row],[f_facturacion]])</f>
        <v>2018</v>
      </c>
      <c r="H139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93">
        <f>+IF(Tabla__192.168.1.8_POSEIDONSQL_APPFVT_01_SQLFacturasRendidas[[#This Row],[epc_nombre]]="RENDIDA",1,0)</f>
        <v>1</v>
      </c>
      <c r="J1393">
        <f>+IF(Tabla__192.168.1.8_POSEIDONSQL_APPFVT_01_SQLFacturasRendidas[[#This Row],[usu_codigo]]="","",1)</f>
        <v>1</v>
      </c>
    </row>
    <row r="1394" spans="1:10" x14ac:dyDescent="0.25">
      <c r="A1394">
        <v>1</v>
      </c>
      <c r="B1394">
        <v>3</v>
      </c>
      <c r="C1394" t="s">
        <v>11</v>
      </c>
      <c r="D1394" t="s">
        <v>15</v>
      </c>
      <c r="E1394" t="s">
        <v>41</v>
      </c>
      <c r="F1394">
        <v>3444</v>
      </c>
      <c r="G1394">
        <f>+YEAR(Tabla__192.168.1.8_POSEIDONSQL_APPFVT_01_SQLFacturasRendidas[[#This Row],[f_facturacion]])</f>
        <v>2018</v>
      </c>
      <c r="H139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94">
        <f>+IF(Tabla__192.168.1.8_POSEIDONSQL_APPFVT_01_SQLFacturasRendidas[[#This Row],[epc_nombre]]="RENDIDA",1,0)</f>
        <v>1</v>
      </c>
      <c r="J1394">
        <f>+IF(Tabla__192.168.1.8_POSEIDONSQL_APPFVT_01_SQLFacturasRendidas[[#This Row],[usu_codigo]]="","",1)</f>
        <v>1</v>
      </c>
    </row>
    <row r="1395" spans="1:10" x14ac:dyDescent="0.25">
      <c r="A1395">
        <v>1</v>
      </c>
      <c r="B1395">
        <v>3</v>
      </c>
      <c r="C1395" t="s">
        <v>11</v>
      </c>
      <c r="D1395" t="s">
        <v>15</v>
      </c>
      <c r="E1395" t="s">
        <v>41</v>
      </c>
      <c r="F1395">
        <v>3445</v>
      </c>
      <c r="G1395">
        <f>+YEAR(Tabla__192.168.1.8_POSEIDONSQL_APPFVT_01_SQLFacturasRendidas[[#This Row],[f_facturacion]])</f>
        <v>2018</v>
      </c>
      <c r="H139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95">
        <f>+IF(Tabla__192.168.1.8_POSEIDONSQL_APPFVT_01_SQLFacturasRendidas[[#This Row],[epc_nombre]]="RENDIDA",1,0)</f>
        <v>1</v>
      </c>
      <c r="J1395">
        <f>+IF(Tabla__192.168.1.8_POSEIDONSQL_APPFVT_01_SQLFacturasRendidas[[#This Row],[usu_codigo]]="","",1)</f>
        <v>1</v>
      </c>
    </row>
    <row r="1396" spans="1:10" x14ac:dyDescent="0.25">
      <c r="A1396">
        <v>1</v>
      </c>
      <c r="B1396">
        <v>3</v>
      </c>
      <c r="C1396" t="s">
        <v>11</v>
      </c>
      <c r="D1396" t="s">
        <v>15</v>
      </c>
      <c r="E1396" t="s">
        <v>41</v>
      </c>
      <c r="F1396">
        <v>3446</v>
      </c>
      <c r="G1396">
        <f>+YEAR(Tabla__192.168.1.8_POSEIDONSQL_APPFVT_01_SQLFacturasRendidas[[#This Row],[f_facturacion]])</f>
        <v>2018</v>
      </c>
      <c r="H139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96">
        <f>+IF(Tabla__192.168.1.8_POSEIDONSQL_APPFVT_01_SQLFacturasRendidas[[#This Row],[epc_nombre]]="RENDIDA",1,0)</f>
        <v>1</v>
      </c>
      <c r="J1396">
        <f>+IF(Tabla__192.168.1.8_POSEIDONSQL_APPFVT_01_SQLFacturasRendidas[[#This Row],[usu_codigo]]="","",1)</f>
        <v>1</v>
      </c>
    </row>
    <row r="1397" spans="1:10" x14ac:dyDescent="0.25">
      <c r="A1397">
        <v>1</v>
      </c>
      <c r="B1397">
        <v>3</v>
      </c>
      <c r="C1397" t="s">
        <v>11</v>
      </c>
      <c r="D1397" t="s">
        <v>15</v>
      </c>
      <c r="E1397" t="s">
        <v>41</v>
      </c>
      <c r="F1397">
        <v>3447</v>
      </c>
      <c r="G1397">
        <f>+YEAR(Tabla__192.168.1.8_POSEIDONSQL_APPFVT_01_SQLFacturasRendidas[[#This Row],[f_facturacion]])</f>
        <v>2018</v>
      </c>
      <c r="H139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97">
        <f>+IF(Tabla__192.168.1.8_POSEIDONSQL_APPFVT_01_SQLFacturasRendidas[[#This Row],[epc_nombre]]="RENDIDA",1,0)</f>
        <v>1</v>
      </c>
      <c r="J1397">
        <f>+IF(Tabla__192.168.1.8_POSEIDONSQL_APPFVT_01_SQLFacturasRendidas[[#This Row],[usu_codigo]]="","",1)</f>
        <v>1</v>
      </c>
    </row>
    <row r="1398" spans="1:10" x14ac:dyDescent="0.25">
      <c r="A1398">
        <v>1</v>
      </c>
      <c r="B1398">
        <v>3</v>
      </c>
      <c r="C1398" t="s">
        <v>11</v>
      </c>
      <c r="D1398" t="s">
        <v>15</v>
      </c>
      <c r="E1398" t="s">
        <v>41</v>
      </c>
      <c r="F1398">
        <v>3448</v>
      </c>
      <c r="G1398">
        <f>+YEAR(Tabla__192.168.1.8_POSEIDONSQL_APPFVT_01_SQLFacturasRendidas[[#This Row],[f_facturacion]])</f>
        <v>2018</v>
      </c>
      <c r="H139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98">
        <f>+IF(Tabla__192.168.1.8_POSEIDONSQL_APPFVT_01_SQLFacturasRendidas[[#This Row],[epc_nombre]]="RENDIDA",1,0)</f>
        <v>1</v>
      </c>
      <c r="J1398">
        <f>+IF(Tabla__192.168.1.8_POSEIDONSQL_APPFVT_01_SQLFacturasRendidas[[#This Row],[usu_codigo]]="","",1)</f>
        <v>1</v>
      </c>
    </row>
    <row r="1399" spans="1:10" x14ac:dyDescent="0.25">
      <c r="A1399">
        <v>1</v>
      </c>
      <c r="B1399">
        <v>3</v>
      </c>
      <c r="C1399" t="s">
        <v>11</v>
      </c>
      <c r="D1399" t="s">
        <v>15</v>
      </c>
      <c r="E1399" t="s">
        <v>41</v>
      </c>
      <c r="F1399">
        <v>3449</v>
      </c>
      <c r="G1399">
        <f>+YEAR(Tabla__192.168.1.8_POSEIDONSQL_APPFVT_01_SQLFacturasRendidas[[#This Row],[f_facturacion]])</f>
        <v>2018</v>
      </c>
      <c r="H139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399">
        <f>+IF(Tabla__192.168.1.8_POSEIDONSQL_APPFVT_01_SQLFacturasRendidas[[#This Row],[epc_nombre]]="RENDIDA",1,0)</f>
        <v>1</v>
      </c>
      <c r="J1399">
        <f>+IF(Tabla__192.168.1.8_POSEIDONSQL_APPFVT_01_SQLFacturasRendidas[[#This Row],[usu_codigo]]="","",1)</f>
        <v>1</v>
      </c>
    </row>
    <row r="1400" spans="1:10" x14ac:dyDescent="0.25">
      <c r="A1400">
        <v>1</v>
      </c>
      <c r="B1400">
        <v>3</v>
      </c>
      <c r="C1400" t="s">
        <v>11</v>
      </c>
      <c r="D1400" t="s">
        <v>15</v>
      </c>
      <c r="E1400" t="s">
        <v>41</v>
      </c>
      <c r="F1400">
        <v>3450</v>
      </c>
      <c r="G1400">
        <f>+YEAR(Tabla__192.168.1.8_POSEIDONSQL_APPFVT_01_SQLFacturasRendidas[[#This Row],[f_facturacion]])</f>
        <v>2018</v>
      </c>
      <c r="H140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400">
        <f>+IF(Tabla__192.168.1.8_POSEIDONSQL_APPFVT_01_SQLFacturasRendidas[[#This Row],[epc_nombre]]="RENDIDA",1,0)</f>
        <v>1</v>
      </c>
      <c r="J1400">
        <f>+IF(Tabla__192.168.1.8_POSEIDONSQL_APPFVT_01_SQLFacturasRendidas[[#This Row],[usu_codigo]]="","",1)</f>
        <v>1</v>
      </c>
    </row>
    <row r="1401" spans="1:10" x14ac:dyDescent="0.25">
      <c r="A1401">
        <v>1</v>
      </c>
      <c r="B1401">
        <v>3</v>
      </c>
      <c r="C1401" t="s">
        <v>11</v>
      </c>
      <c r="D1401" t="s">
        <v>15</v>
      </c>
      <c r="E1401" t="s">
        <v>41</v>
      </c>
      <c r="F1401">
        <v>3451</v>
      </c>
      <c r="G1401">
        <f>+YEAR(Tabla__192.168.1.8_POSEIDONSQL_APPFVT_01_SQLFacturasRendidas[[#This Row],[f_facturacion]])</f>
        <v>2018</v>
      </c>
      <c r="H140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401">
        <f>+IF(Tabla__192.168.1.8_POSEIDONSQL_APPFVT_01_SQLFacturasRendidas[[#This Row],[epc_nombre]]="RENDIDA",1,0)</f>
        <v>1</v>
      </c>
      <c r="J1401">
        <f>+IF(Tabla__192.168.1.8_POSEIDONSQL_APPFVT_01_SQLFacturasRendidas[[#This Row],[usu_codigo]]="","",1)</f>
        <v>1</v>
      </c>
    </row>
    <row r="1402" spans="1:10" x14ac:dyDescent="0.25">
      <c r="A1402">
        <v>1</v>
      </c>
      <c r="B1402">
        <v>3</v>
      </c>
      <c r="C1402" t="s">
        <v>11</v>
      </c>
      <c r="D1402" t="s">
        <v>15</v>
      </c>
      <c r="E1402" t="s">
        <v>41</v>
      </c>
      <c r="F1402">
        <v>3452</v>
      </c>
      <c r="G1402">
        <f>+YEAR(Tabla__192.168.1.8_POSEIDONSQL_APPFVT_01_SQLFacturasRendidas[[#This Row],[f_facturacion]])</f>
        <v>2018</v>
      </c>
      <c r="H140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402">
        <f>+IF(Tabla__192.168.1.8_POSEIDONSQL_APPFVT_01_SQLFacturasRendidas[[#This Row],[epc_nombre]]="RENDIDA",1,0)</f>
        <v>1</v>
      </c>
      <c r="J1402">
        <f>+IF(Tabla__192.168.1.8_POSEIDONSQL_APPFVT_01_SQLFacturasRendidas[[#This Row],[usu_codigo]]="","",1)</f>
        <v>1</v>
      </c>
    </row>
    <row r="1403" spans="1:10" x14ac:dyDescent="0.25">
      <c r="A1403">
        <v>1</v>
      </c>
      <c r="B1403">
        <v>3</v>
      </c>
      <c r="C1403" t="s">
        <v>11</v>
      </c>
      <c r="D1403" t="s">
        <v>15</v>
      </c>
      <c r="E1403" t="s">
        <v>41</v>
      </c>
      <c r="F1403">
        <v>3453</v>
      </c>
      <c r="G1403">
        <f>+YEAR(Tabla__192.168.1.8_POSEIDONSQL_APPFVT_01_SQLFacturasRendidas[[#This Row],[f_facturacion]])</f>
        <v>2018</v>
      </c>
      <c r="H140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403">
        <f>+IF(Tabla__192.168.1.8_POSEIDONSQL_APPFVT_01_SQLFacturasRendidas[[#This Row],[epc_nombre]]="RENDIDA",1,0)</f>
        <v>1</v>
      </c>
      <c r="J1403">
        <f>+IF(Tabla__192.168.1.8_POSEIDONSQL_APPFVT_01_SQLFacturasRendidas[[#This Row],[usu_codigo]]="","",1)</f>
        <v>1</v>
      </c>
    </row>
    <row r="1404" spans="1:10" x14ac:dyDescent="0.25">
      <c r="A1404">
        <v>1</v>
      </c>
      <c r="B1404">
        <v>3</v>
      </c>
      <c r="C1404" t="s">
        <v>11</v>
      </c>
      <c r="D1404" t="s">
        <v>15</v>
      </c>
      <c r="E1404" t="s">
        <v>41</v>
      </c>
      <c r="F1404">
        <v>3454</v>
      </c>
      <c r="G1404">
        <f>+YEAR(Tabla__192.168.1.8_POSEIDONSQL_APPFVT_01_SQLFacturasRendidas[[#This Row],[f_facturacion]])</f>
        <v>2018</v>
      </c>
      <c r="H140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404">
        <f>+IF(Tabla__192.168.1.8_POSEIDONSQL_APPFVT_01_SQLFacturasRendidas[[#This Row],[epc_nombre]]="RENDIDA",1,0)</f>
        <v>1</v>
      </c>
      <c r="J1404">
        <f>+IF(Tabla__192.168.1.8_POSEIDONSQL_APPFVT_01_SQLFacturasRendidas[[#This Row],[usu_codigo]]="","",1)</f>
        <v>1</v>
      </c>
    </row>
    <row r="1405" spans="1:10" x14ac:dyDescent="0.25">
      <c r="A1405">
        <v>1</v>
      </c>
      <c r="B1405">
        <v>3</v>
      </c>
      <c r="C1405" t="s">
        <v>11</v>
      </c>
      <c r="D1405" t="s">
        <v>15</v>
      </c>
      <c r="E1405" t="s">
        <v>41</v>
      </c>
      <c r="F1405">
        <v>3455</v>
      </c>
      <c r="G1405">
        <f>+YEAR(Tabla__192.168.1.8_POSEIDONSQL_APPFVT_01_SQLFacturasRendidas[[#This Row],[f_facturacion]])</f>
        <v>2018</v>
      </c>
      <c r="H140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405">
        <f>+IF(Tabla__192.168.1.8_POSEIDONSQL_APPFVT_01_SQLFacturasRendidas[[#This Row],[epc_nombre]]="RENDIDA",1,0)</f>
        <v>1</v>
      </c>
      <c r="J1405">
        <f>+IF(Tabla__192.168.1.8_POSEIDONSQL_APPFVT_01_SQLFacturasRendidas[[#This Row],[usu_codigo]]="","",1)</f>
        <v>1</v>
      </c>
    </row>
    <row r="1406" spans="1:10" x14ac:dyDescent="0.25">
      <c r="A1406">
        <v>1</v>
      </c>
      <c r="B1406">
        <v>3</v>
      </c>
      <c r="C1406" t="s">
        <v>11</v>
      </c>
      <c r="D1406" t="s">
        <v>15</v>
      </c>
      <c r="E1406" t="s">
        <v>72</v>
      </c>
      <c r="F1406">
        <v>3462</v>
      </c>
      <c r="G1406">
        <f>+YEAR(Tabla__192.168.1.8_POSEIDONSQL_APPFVT_01_SQLFacturasRendidas[[#This Row],[f_facturacion]])</f>
        <v>2018</v>
      </c>
      <c r="H140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406">
        <f>+IF(Tabla__192.168.1.8_POSEIDONSQL_APPFVT_01_SQLFacturasRendidas[[#This Row],[epc_nombre]]="RENDIDA",1,0)</f>
        <v>1</v>
      </c>
      <c r="J1406">
        <f>+IF(Tabla__192.168.1.8_POSEIDONSQL_APPFVT_01_SQLFacturasRendidas[[#This Row],[usu_codigo]]="","",1)</f>
        <v>1</v>
      </c>
    </row>
    <row r="1407" spans="1:10" x14ac:dyDescent="0.25">
      <c r="A1407">
        <v>1</v>
      </c>
      <c r="B1407">
        <v>3</v>
      </c>
      <c r="C1407" t="s">
        <v>11</v>
      </c>
      <c r="D1407" t="s">
        <v>15</v>
      </c>
      <c r="E1407" t="s">
        <v>72</v>
      </c>
      <c r="F1407">
        <v>3463</v>
      </c>
      <c r="G1407">
        <f>+YEAR(Tabla__192.168.1.8_POSEIDONSQL_APPFVT_01_SQLFacturasRendidas[[#This Row],[f_facturacion]])</f>
        <v>2018</v>
      </c>
      <c r="H140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407">
        <f>+IF(Tabla__192.168.1.8_POSEIDONSQL_APPFVT_01_SQLFacturasRendidas[[#This Row],[epc_nombre]]="RENDIDA",1,0)</f>
        <v>1</v>
      </c>
      <c r="J1407">
        <f>+IF(Tabla__192.168.1.8_POSEIDONSQL_APPFVT_01_SQLFacturasRendidas[[#This Row],[usu_codigo]]="","",1)</f>
        <v>1</v>
      </c>
    </row>
    <row r="1408" spans="1:10" x14ac:dyDescent="0.25">
      <c r="A1408">
        <v>1</v>
      </c>
      <c r="B1408">
        <v>3</v>
      </c>
      <c r="C1408" t="s">
        <v>11</v>
      </c>
      <c r="D1408" t="s">
        <v>15</v>
      </c>
      <c r="E1408" t="s">
        <v>72</v>
      </c>
      <c r="F1408">
        <v>3464</v>
      </c>
      <c r="G1408">
        <f>+YEAR(Tabla__192.168.1.8_POSEIDONSQL_APPFVT_01_SQLFacturasRendidas[[#This Row],[f_facturacion]])</f>
        <v>2018</v>
      </c>
      <c r="H140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408">
        <f>+IF(Tabla__192.168.1.8_POSEIDONSQL_APPFVT_01_SQLFacturasRendidas[[#This Row],[epc_nombre]]="RENDIDA",1,0)</f>
        <v>1</v>
      </c>
      <c r="J1408">
        <f>+IF(Tabla__192.168.1.8_POSEIDONSQL_APPFVT_01_SQLFacturasRendidas[[#This Row],[usu_codigo]]="","",1)</f>
        <v>1</v>
      </c>
    </row>
    <row r="1409" spans="1:10" x14ac:dyDescent="0.25">
      <c r="A1409">
        <v>1</v>
      </c>
      <c r="B1409">
        <v>3</v>
      </c>
      <c r="C1409" t="s">
        <v>11</v>
      </c>
      <c r="D1409" t="s">
        <v>15</v>
      </c>
      <c r="E1409" t="s">
        <v>72</v>
      </c>
      <c r="F1409">
        <v>3465</v>
      </c>
      <c r="G1409">
        <f>+YEAR(Tabla__192.168.1.8_POSEIDONSQL_APPFVT_01_SQLFacturasRendidas[[#This Row],[f_facturacion]])</f>
        <v>2018</v>
      </c>
      <c r="H140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409">
        <f>+IF(Tabla__192.168.1.8_POSEIDONSQL_APPFVT_01_SQLFacturasRendidas[[#This Row],[epc_nombre]]="RENDIDA",1,0)</f>
        <v>1</v>
      </c>
      <c r="J1409">
        <f>+IF(Tabla__192.168.1.8_POSEIDONSQL_APPFVT_01_SQLFacturasRendidas[[#This Row],[usu_codigo]]="","",1)</f>
        <v>1</v>
      </c>
    </row>
    <row r="1410" spans="1:10" x14ac:dyDescent="0.25">
      <c r="A1410">
        <v>1</v>
      </c>
      <c r="B1410">
        <v>3</v>
      </c>
      <c r="C1410" t="s">
        <v>11</v>
      </c>
      <c r="D1410" t="s">
        <v>15</v>
      </c>
      <c r="E1410" t="s">
        <v>72</v>
      </c>
      <c r="F1410">
        <v>3466</v>
      </c>
      <c r="G1410">
        <f>+YEAR(Tabla__192.168.1.8_POSEIDONSQL_APPFVT_01_SQLFacturasRendidas[[#This Row],[f_facturacion]])</f>
        <v>2018</v>
      </c>
      <c r="H141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410">
        <f>+IF(Tabla__192.168.1.8_POSEIDONSQL_APPFVT_01_SQLFacturasRendidas[[#This Row],[epc_nombre]]="RENDIDA",1,0)</f>
        <v>1</v>
      </c>
      <c r="J1410">
        <f>+IF(Tabla__192.168.1.8_POSEIDONSQL_APPFVT_01_SQLFacturasRendidas[[#This Row],[usu_codigo]]="","",1)</f>
        <v>1</v>
      </c>
    </row>
    <row r="1411" spans="1:10" x14ac:dyDescent="0.25">
      <c r="A1411">
        <v>1</v>
      </c>
      <c r="B1411">
        <v>3</v>
      </c>
      <c r="C1411" t="s">
        <v>11</v>
      </c>
      <c r="D1411" t="s">
        <v>15</v>
      </c>
      <c r="E1411" t="s">
        <v>72</v>
      </c>
      <c r="F1411">
        <v>3467</v>
      </c>
      <c r="G1411">
        <f>+YEAR(Tabla__192.168.1.8_POSEIDONSQL_APPFVT_01_SQLFacturasRendidas[[#This Row],[f_facturacion]])</f>
        <v>2018</v>
      </c>
      <c r="H141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411">
        <f>+IF(Tabla__192.168.1.8_POSEIDONSQL_APPFVT_01_SQLFacturasRendidas[[#This Row],[epc_nombre]]="RENDIDA",1,0)</f>
        <v>1</v>
      </c>
      <c r="J1411">
        <f>+IF(Tabla__192.168.1.8_POSEIDONSQL_APPFVT_01_SQLFacturasRendidas[[#This Row],[usu_codigo]]="","",1)</f>
        <v>1</v>
      </c>
    </row>
    <row r="1412" spans="1:10" x14ac:dyDescent="0.25">
      <c r="A1412">
        <v>1</v>
      </c>
      <c r="B1412">
        <v>3</v>
      </c>
      <c r="C1412" t="s">
        <v>11</v>
      </c>
      <c r="D1412" t="s">
        <v>15</v>
      </c>
      <c r="E1412" t="s">
        <v>72</v>
      </c>
      <c r="F1412">
        <v>3468</v>
      </c>
      <c r="G1412">
        <f>+YEAR(Tabla__192.168.1.8_POSEIDONSQL_APPFVT_01_SQLFacturasRendidas[[#This Row],[f_facturacion]])</f>
        <v>2018</v>
      </c>
      <c r="H141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412">
        <f>+IF(Tabla__192.168.1.8_POSEIDONSQL_APPFVT_01_SQLFacturasRendidas[[#This Row],[epc_nombre]]="RENDIDA",1,0)</f>
        <v>1</v>
      </c>
      <c r="J1412">
        <f>+IF(Tabla__192.168.1.8_POSEIDONSQL_APPFVT_01_SQLFacturasRendidas[[#This Row],[usu_codigo]]="","",1)</f>
        <v>1</v>
      </c>
    </row>
    <row r="1413" spans="1:10" x14ac:dyDescent="0.25">
      <c r="A1413">
        <v>1</v>
      </c>
      <c r="B1413">
        <v>3</v>
      </c>
      <c r="C1413" t="s">
        <v>11</v>
      </c>
      <c r="D1413" t="s">
        <v>15</v>
      </c>
      <c r="E1413" t="s">
        <v>72</v>
      </c>
      <c r="F1413">
        <v>3469</v>
      </c>
      <c r="G1413">
        <f>+YEAR(Tabla__192.168.1.8_POSEIDONSQL_APPFVT_01_SQLFacturasRendidas[[#This Row],[f_facturacion]])</f>
        <v>2018</v>
      </c>
      <c r="H141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413">
        <f>+IF(Tabla__192.168.1.8_POSEIDONSQL_APPFVT_01_SQLFacturasRendidas[[#This Row],[epc_nombre]]="RENDIDA",1,0)</f>
        <v>1</v>
      </c>
      <c r="J1413">
        <f>+IF(Tabla__192.168.1.8_POSEIDONSQL_APPFVT_01_SQLFacturasRendidas[[#This Row],[usu_codigo]]="","",1)</f>
        <v>1</v>
      </c>
    </row>
    <row r="1414" spans="1:10" x14ac:dyDescent="0.25">
      <c r="A1414">
        <v>1</v>
      </c>
      <c r="B1414">
        <v>3</v>
      </c>
      <c r="C1414" t="s">
        <v>11</v>
      </c>
      <c r="D1414" t="s">
        <v>15</v>
      </c>
      <c r="E1414" t="s">
        <v>72</v>
      </c>
      <c r="F1414">
        <v>3470</v>
      </c>
      <c r="G1414">
        <f>+YEAR(Tabla__192.168.1.8_POSEIDONSQL_APPFVT_01_SQLFacturasRendidas[[#This Row],[f_facturacion]])</f>
        <v>2018</v>
      </c>
      <c r="H141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414">
        <f>+IF(Tabla__192.168.1.8_POSEIDONSQL_APPFVT_01_SQLFacturasRendidas[[#This Row],[epc_nombre]]="RENDIDA",1,0)</f>
        <v>1</v>
      </c>
      <c r="J1414">
        <f>+IF(Tabla__192.168.1.8_POSEIDONSQL_APPFVT_01_SQLFacturasRendidas[[#This Row],[usu_codigo]]="","",1)</f>
        <v>1</v>
      </c>
    </row>
    <row r="1415" spans="1:10" x14ac:dyDescent="0.25">
      <c r="A1415">
        <v>1</v>
      </c>
      <c r="B1415">
        <v>3</v>
      </c>
      <c r="C1415" t="s">
        <v>11</v>
      </c>
      <c r="D1415" t="s">
        <v>15</v>
      </c>
      <c r="E1415" t="s">
        <v>72</v>
      </c>
      <c r="F1415">
        <v>3471</v>
      </c>
      <c r="G1415">
        <f>+YEAR(Tabla__192.168.1.8_POSEIDONSQL_APPFVT_01_SQLFacturasRendidas[[#This Row],[f_facturacion]])</f>
        <v>2018</v>
      </c>
      <c r="H141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415">
        <f>+IF(Tabla__192.168.1.8_POSEIDONSQL_APPFVT_01_SQLFacturasRendidas[[#This Row],[epc_nombre]]="RENDIDA",1,0)</f>
        <v>1</v>
      </c>
      <c r="J1415">
        <f>+IF(Tabla__192.168.1.8_POSEIDONSQL_APPFVT_01_SQLFacturasRendidas[[#This Row],[usu_codigo]]="","",1)</f>
        <v>1</v>
      </c>
    </row>
    <row r="1416" spans="1:10" x14ac:dyDescent="0.25">
      <c r="A1416">
        <v>1</v>
      </c>
      <c r="B1416">
        <v>3</v>
      </c>
      <c r="C1416" t="s">
        <v>11</v>
      </c>
      <c r="D1416" t="s">
        <v>15</v>
      </c>
      <c r="E1416" t="s">
        <v>72</v>
      </c>
      <c r="F1416">
        <v>3472</v>
      </c>
      <c r="G1416">
        <f>+YEAR(Tabla__192.168.1.8_POSEIDONSQL_APPFVT_01_SQLFacturasRendidas[[#This Row],[f_facturacion]])</f>
        <v>2018</v>
      </c>
      <c r="H141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416">
        <f>+IF(Tabla__192.168.1.8_POSEIDONSQL_APPFVT_01_SQLFacturasRendidas[[#This Row],[epc_nombre]]="RENDIDA",1,0)</f>
        <v>1</v>
      </c>
      <c r="J1416">
        <f>+IF(Tabla__192.168.1.8_POSEIDONSQL_APPFVT_01_SQLFacturasRendidas[[#This Row],[usu_codigo]]="","",1)</f>
        <v>1</v>
      </c>
    </row>
    <row r="1417" spans="1:10" x14ac:dyDescent="0.25">
      <c r="A1417">
        <v>1</v>
      </c>
      <c r="B1417">
        <v>3</v>
      </c>
      <c r="C1417" t="s">
        <v>11</v>
      </c>
      <c r="D1417" t="s">
        <v>15</v>
      </c>
      <c r="E1417" t="s">
        <v>72</v>
      </c>
      <c r="F1417">
        <v>3473</v>
      </c>
      <c r="G1417">
        <f>+YEAR(Tabla__192.168.1.8_POSEIDONSQL_APPFVT_01_SQLFacturasRendidas[[#This Row],[f_facturacion]])</f>
        <v>2018</v>
      </c>
      <c r="H141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417">
        <f>+IF(Tabla__192.168.1.8_POSEIDONSQL_APPFVT_01_SQLFacturasRendidas[[#This Row],[epc_nombre]]="RENDIDA",1,0)</f>
        <v>1</v>
      </c>
      <c r="J1417">
        <f>+IF(Tabla__192.168.1.8_POSEIDONSQL_APPFVT_01_SQLFacturasRendidas[[#This Row],[usu_codigo]]="","",1)</f>
        <v>1</v>
      </c>
    </row>
    <row r="1418" spans="1:10" x14ac:dyDescent="0.25">
      <c r="A1418">
        <v>1</v>
      </c>
      <c r="B1418">
        <v>3</v>
      </c>
      <c r="C1418" t="s">
        <v>11</v>
      </c>
      <c r="D1418" t="s">
        <v>15</v>
      </c>
      <c r="E1418" t="s">
        <v>72</v>
      </c>
      <c r="F1418">
        <v>3474</v>
      </c>
      <c r="G1418">
        <f>+YEAR(Tabla__192.168.1.8_POSEIDONSQL_APPFVT_01_SQLFacturasRendidas[[#This Row],[f_facturacion]])</f>
        <v>2018</v>
      </c>
      <c r="H141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418">
        <f>+IF(Tabla__192.168.1.8_POSEIDONSQL_APPFVT_01_SQLFacturasRendidas[[#This Row],[epc_nombre]]="RENDIDA",1,0)</f>
        <v>1</v>
      </c>
      <c r="J1418">
        <f>+IF(Tabla__192.168.1.8_POSEIDONSQL_APPFVT_01_SQLFacturasRendidas[[#This Row],[usu_codigo]]="","",1)</f>
        <v>1</v>
      </c>
    </row>
    <row r="1419" spans="1:10" x14ac:dyDescent="0.25">
      <c r="A1419">
        <v>1</v>
      </c>
      <c r="B1419">
        <v>3</v>
      </c>
      <c r="C1419" t="s">
        <v>11</v>
      </c>
      <c r="D1419" t="s">
        <v>15</v>
      </c>
      <c r="E1419" t="s">
        <v>72</v>
      </c>
      <c r="F1419">
        <v>3475</v>
      </c>
      <c r="G1419">
        <f>+YEAR(Tabla__192.168.1.8_POSEIDONSQL_APPFVT_01_SQLFacturasRendidas[[#This Row],[f_facturacion]])</f>
        <v>2018</v>
      </c>
      <c r="H141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419">
        <f>+IF(Tabla__192.168.1.8_POSEIDONSQL_APPFVT_01_SQLFacturasRendidas[[#This Row],[epc_nombre]]="RENDIDA",1,0)</f>
        <v>1</v>
      </c>
      <c r="J1419">
        <f>+IF(Tabla__192.168.1.8_POSEIDONSQL_APPFVT_01_SQLFacturasRendidas[[#This Row],[usu_codigo]]="","",1)</f>
        <v>1</v>
      </c>
    </row>
    <row r="1420" spans="1:10" x14ac:dyDescent="0.25">
      <c r="A1420">
        <v>1</v>
      </c>
      <c r="B1420">
        <v>3</v>
      </c>
      <c r="C1420" t="s">
        <v>11</v>
      </c>
      <c r="D1420" t="s">
        <v>15</v>
      </c>
      <c r="E1420" t="s">
        <v>72</v>
      </c>
      <c r="F1420">
        <v>3476</v>
      </c>
      <c r="G1420">
        <f>+YEAR(Tabla__192.168.1.8_POSEIDONSQL_APPFVT_01_SQLFacturasRendidas[[#This Row],[f_facturacion]])</f>
        <v>2018</v>
      </c>
      <c r="H142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420">
        <f>+IF(Tabla__192.168.1.8_POSEIDONSQL_APPFVT_01_SQLFacturasRendidas[[#This Row],[epc_nombre]]="RENDIDA",1,0)</f>
        <v>1</v>
      </c>
      <c r="J1420">
        <f>+IF(Tabla__192.168.1.8_POSEIDONSQL_APPFVT_01_SQLFacturasRendidas[[#This Row],[usu_codigo]]="","",1)</f>
        <v>1</v>
      </c>
    </row>
    <row r="1421" spans="1:10" x14ac:dyDescent="0.25">
      <c r="A1421">
        <v>1</v>
      </c>
      <c r="B1421">
        <v>3</v>
      </c>
      <c r="C1421" t="s">
        <v>11</v>
      </c>
      <c r="D1421" t="s">
        <v>15</v>
      </c>
      <c r="E1421" t="s">
        <v>72</v>
      </c>
      <c r="F1421">
        <v>3477</v>
      </c>
      <c r="G1421">
        <f>+YEAR(Tabla__192.168.1.8_POSEIDONSQL_APPFVT_01_SQLFacturasRendidas[[#This Row],[f_facturacion]])</f>
        <v>2018</v>
      </c>
      <c r="H142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421">
        <f>+IF(Tabla__192.168.1.8_POSEIDONSQL_APPFVT_01_SQLFacturasRendidas[[#This Row],[epc_nombre]]="RENDIDA",1,0)</f>
        <v>1</v>
      </c>
      <c r="J1421">
        <f>+IF(Tabla__192.168.1.8_POSEIDONSQL_APPFVT_01_SQLFacturasRendidas[[#This Row],[usu_codigo]]="","",1)</f>
        <v>1</v>
      </c>
    </row>
    <row r="1422" spans="1:10" x14ac:dyDescent="0.25">
      <c r="A1422">
        <v>1</v>
      </c>
      <c r="B1422">
        <v>3</v>
      </c>
      <c r="C1422" t="s">
        <v>11</v>
      </c>
      <c r="D1422" t="s">
        <v>15</v>
      </c>
      <c r="E1422" t="s">
        <v>42</v>
      </c>
      <c r="F1422">
        <v>3478</v>
      </c>
      <c r="G1422">
        <f>+YEAR(Tabla__192.168.1.8_POSEIDONSQL_APPFVT_01_SQLFacturasRendidas[[#This Row],[f_facturacion]])</f>
        <v>2018</v>
      </c>
      <c r="H142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422">
        <f>+IF(Tabla__192.168.1.8_POSEIDONSQL_APPFVT_01_SQLFacturasRendidas[[#This Row],[epc_nombre]]="RENDIDA",1,0)</f>
        <v>1</v>
      </c>
      <c r="J1422">
        <f>+IF(Tabla__192.168.1.8_POSEIDONSQL_APPFVT_01_SQLFacturasRendidas[[#This Row],[usu_codigo]]="","",1)</f>
        <v>1</v>
      </c>
    </row>
    <row r="1423" spans="1:10" x14ac:dyDescent="0.25">
      <c r="A1423">
        <v>1</v>
      </c>
      <c r="B1423">
        <v>3</v>
      </c>
      <c r="C1423" t="s">
        <v>81</v>
      </c>
      <c r="D1423" t="s">
        <v>15</v>
      </c>
      <c r="E1423" t="s">
        <v>25</v>
      </c>
      <c r="F1423">
        <v>91834</v>
      </c>
      <c r="G1423">
        <f>+YEAR(Tabla__192.168.1.8_POSEIDONSQL_APPFVT_01_SQLFacturasRendidas[[#This Row],[f_facturacion]])</f>
        <v>2018</v>
      </c>
      <c r="H142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423">
        <f>+IF(Tabla__192.168.1.8_POSEIDONSQL_APPFVT_01_SQLFacturasRendidas[[#This Row],[epc_nombre]]="RENDIDA",1,0)</f>
        <v>1</v>
      </c>
      <c r="J1423">
        <f>+IF(Tabla__192.168.1.8_POSEIDONSQL_APPFVT_01_SQLFacturasRendidas[[#This Row],[usu_codigo]]="","",1)</f>
        <v>1</v>
      </c>
    </row>
    <row r="1424" spans="1:10" x14ac:dyDescent="0.25">
      <c r="A1424">
        <v>1</v>
      </c>
      <c r="B1424">
        <v>3</v>
      </c>
      <c r="C1424" t="s">
        <v>81</v>
      </c>
      <c r="D1424" t="s">
        <v>15</v>
      </c>
      <c r="E1424" t="s">
        <v>25</v>
      </c>
      <c r="F1424">
        <v>91835</v>
      </c>
      <c r="G1424">
        <f>+YEAR(Tabla__192.168.1.8_POSEIDONSQL_APPFVT_01_SQLFacturasRendidas[[#This Row],[f_facturacion]])</f>
        <v>2018</v>
      </c>
      <c r="H142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424">
        <f>+IF(Tabla__192.168.1.8_POSEIDONSQL_APPFVT_01_SQLFacturasRendidas[[#This Row],[epc_nombre]]="RENDIDA",1,0)</f>
        <v>1</v>
      </c>
      <c r="J1424">
        <f>+IF(Tabla__192.168.1.8_POSEIDONSQL_APPFVT_01_SQLFacturasRendidas[[#This Row],[usu_codigo]]="","",1)</f>
        <v>1</v>
      </c>
    </row>
    <row r="1425" spans="1:10" x14ac:dyDescent="0.25">
      <c r="A1425">
        <v>1</v>
      </c>
      <c r="B1425">
        <v>3</v>
      </c>
      <c r="C1425" t="s">
        <v>81</v>
      </c>
      <c r="D1425" t="s">
        <v>15</v>
      </c>
      <c r="E1425" t="s">
        <v>25</v>
      </c>
      <c r="F1425">
        <v>91836</v>
      </c>
      <c r="G1425">
        <f>+YEAR(Tabla__192.168.1.8_POSEIDONSQL_APPFVT_01_SQLFacturasRendidas[[#This Row],[f_facturacion]])</f>
        <v>2018</v>
      </c>
      <c r="H142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425">
        <f>+IF(Tabla__192.168.1.8_POSEIDONSQL_APPFVT_01_SQLFacturasRendidas[[#This Row],[epc_nombre]]="RENDIDA",1,0)</f>
        <v>1</v>
      </c>
      <c r="J1425">
        <f>+IF(Tabla__192.168.1.8_POSEIDONSQL_APPFVT_01_SQLFacturasRendidas[[#This Row],[usu_codigo]]="","",1)</f>
        <v>1</v>
      </c>
    </row>
    <row r="1426" spans="1:10" x14ac:dyDescent="0.25">
      <c r="A1426">
        <v>1</v>
      </c>
      <c r="B1426">
        <v>3</v>
      </c>
      <c r="C1426" t="s">
        <v>81</v>
      </c>
      <c r="D1426" t="s">
        <v>15</v>
      </c>
      <c r="E1426" t="s">
        <v>25</v>
      </c>
      <c r="F1426">
        <v>91837</v>
      </c>
      <c r="G1426">
        <f>+YEAR(Tabla__192.168.1.8_POSEIDONSQL_APPFVT_01_SQLFacturasRendidas[[#This Row],[f_facturacion]])</f>
        <v>2018</v>
      </c>
      <c r="H142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426">
        <f>+IF(Tabla__192.168.1.8_POSEIDONSQL_APPFVT_01_SQLFacturasRendidas[[#This Row],[epc_nombre]]="RENDIDA",1,0)</f>
        <v>1</v>
      </c>
      <c r="J1426">
        <f>+IF(Tabla__192.168.1.8_POSEIDONSQL_APPFVT_01_SQLFacturasRendidas[[#This Row],[usu_codigo]]="","",1)</f>
        <v>1</v>
      </c>
    </row>
    <row r="1427" spans="1:10" x14ac:dyDescent="0.25">
      <c r="A1427">
        <v>1</v>
      </c>
      <c r="B1427">
        <v>3</v>
      </c>
      <c r="C1427" t="s">
        <v>81</v>
      </c>
      <c r="D1427" t="s">
        <v>15</v>
      </c>
      <c r="E1427" t="s">
        <v>25</v>
      </c>
      <c r="F1427">
        <v>91838</v>
      </c>
      <c r="G1427">
        <f>+YEAR(Tabla__192.168.1.8_POSEIDONSQL_APPFVT_01_SQLFacturasRendidas[[#This Row],[f_facturacion]])</f>
        <v>2018</v>
      </c>
      <c r="H142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427">
        <f>+IF(Tabla__192.168.1.8_POSEIDONSQL_APPFVT_01_SQLFacturasRendidas[[#This Row],[epc_nombre]]="RENDIDA",1,0)</f>
        <v>1</v>
      </c>
      <c r="J1427">
        <f>+IF(Tabla__192.168.1.8_POSEIDONSQL_APPFVT_01_SQLFacturasRendidas[[#This Row],[usu_codigo]]="","",1)</f>
        <v>1</v>
      </c>
    </row>
    <row r="1428" spans="1:10" x14ac:dyDescent="0.25">
      <c r="A1428">
        <v>1</v>
      </c>
      <c r="B1428">
        <v>3</v>
      </c>
      <c r="C1428" t="s">
        <v>81</v>
      </c>
      <c r="D1428" t="s">
        <v>15</v>
      </c>
      <c r="E1428" t="s">
        <v>25</v>
      </c>
      <c r="F1428">
        <v>91839</v>
      </c>
      <c r="G1428">
        <f>+YEAR(Tabla__192.168.1.8_POSEIDONSQL_APPFVT_01_SQLFacturasRendidas[[#This Row],[f_facturacion]])</f>
        <v>2018</v>
      </c>
      <c r="H142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428">
        <f>+IF(Tabla__192.168.1.8_POSEIDONSQL_APPFVT_01_SQLFacturasRendidas[[#This Row],[epc_nombre]]="RENDIDA",1,0)</f>
        <v>1</v>
      </c>
      <c r="J1428">
        <f>+IF(Tabla__192.168.1.8_POSEIDONSQL_APPFVT_01_SQLFacturasRendidas[[#This Row],[usu_codigo]]="","",1)</f>
        <v>1</v>
      </c>
    </row>
    <row r="1429" spans="1:10" x14ac:dyDescent="0.25">
      <c r="A1429">
        <v>1</v>
      </c>
      <c r="B1429">
        <v>3</v>
      </c>
      <c r="C1429" t="s">
        <v>81</v>
      </c>
      <c r="D1429" t="s">
        <v>15</v>
      </c>
      <c r="E1429" t="s">
        <v>25</v>
      </c>
      <c r="F1429">
        <v>91840</v>
      </c>
      <c r="G1429">
        <f>+YEAR(Tabla__192.168.1.8_POSEIDONSQL_APPFVT_01_SQLFacturasRendidas[[#This Row],[f_facturacion]])</f>
        <v>2018</v>
      </c>
      <c r="H142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429">
        <f>+IF(Tabla__192.168.1.8_POSEIDONSQL_APPFVT_01_SQLFacturasRendidas[[#This Row],[epc_nombre]]="RENDIDA",1,0)</f>
        <v>1</v>
      </c>
      <c r="J1429">
        <f>+IF(Tabla__192.168.1.8_POSEIDONSQL_APPFVT_01_SQLFacturasRendidas[[#This Row],[usu_codigo]]="","",1)</f>
        <v>1</v>
      </c>
    </row>
    <row r="1430" spans="1:10" x14ac:dyDescent="0.25">
      <c r="A1430">
        <v>1</v>
      </c>
      <c r="B1430">
        <v>3</v>
      </c>
      <c r="C1430" t="s">
        <v>81</v>
      </c>
      <c r="D1430" t="s">
        <v>15</v>
      </c>
      <c r="E1430" t="s">
        <v>25</v>
      </c>
      <c r="F1430">
        <v>91841</v>
      </c>
      <c r="G1430">
        <f>+YEAR(Tabla__192.168.1.8_POSEIDONSQL_APPFVT_01_SQLFacturasRendidas[[#This Row],[f_facturacion]])</f>
        <v>2018</v>
      </c>
      <c r="H143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430">
        <f>+IF(Tabla__192.168.1.8_POSEIDONSQL_APPFVT_01_SQLFacturasRendidas[[#This Row],[epc_nombre]]="RENDIDA",1,0)</f>
        <v>1</v>
      </c>
      <c r="J1430">
        <f>+IF(Tabla__192.168.1.8_POSEIDONSQL_APPFVT_01_SQLFacturasRendidas[[#This Row],[usu_codigo]]="","",1)</f>
        <v>1</v>
      </c>
    </row>
    <row r="1431" spans="1:10" x14ac:dyDescent="0.25">
      <c r="A1431">
        <v>1</v>
      </c>
      <c r="B1431">
        <v>3</v>
      </c>
      <c r="C1431" t="s">
        <v>81</v>
      </c>
      <c r="D1431" t="s">
        <v>15</v>
      </c>
      <c r="E1431" t="s">
        <v>25</v>
      </c>
      <c r="F1431">
        <v>91842</v>
      </c>
      <c r="G1431">
        <f>+YEAR(Tabla__192.168.1.8_POSEIDONSQL_APPFVT_01_SQLFacturasRendidas[[#This Row],[f_facturacion]])</f>
        <v>2018</v>
      </c>
      <c r="H143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431">
        <f>+IF(Tabla__192.168.1.8_POSEIDONSQL_APPFVT_01_SQLFacturasRendidas[[#This Row],[epc_nombre]]="RENDIDA",1,0)</f>
        <v>1</v>
      </c>
      <c r="J1431">
        <f>+IF(Tabla__192.168.1.8_POSEIDONSQL_APPFVT_01_SQLFacturasRendidas[[#This Row],[usu_codigo]]="","",1)</f>
        <v>1</v>
      </c>
    </row>
    <row r="1432" spans="1:10" x14ac:dyDescent="0.25">
      <c r="A1432">
        <v>1</v>
      </c>
      <c r="B1432">
        <v>3</v>
      </c>
      <c r="C1432" t="s">
        <v>81</v>
      </c>
      <c r="D1432" t="s">
        <v>15</v>
      </c>
      <c r="E1432" t="s">
        <v>25</v>
      </c>
      <c r="F1432">
        <v>91843</v>
      </c>
      <c r="G1432">
        <f>+YEAR(Tabla__192.168.1.8_POSEIDONSQL_APPFVT_01_SQLFacturasRendidas[[#This Row],[f_facturacion]])</f>
        <v>2018</v>
      </c>
      <c r="H143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432">
        <f>+IF(Tabla__192.168.1.8_POSEIDONSQL_APPFVT_01_SQLFacturasRendidas[[#This Row],[epc_nombre]]="RENDIDA",1,0)</f>
        <v>1</v>
      </c>
      <c r="J1432">
        <f>+IF(Tabla__192.168.1.8_POSEIDONSQL_APPFVT_01_SQLFacturasRendidas[[#This Row],[usu_codigo]]="","",1)</f>
        <v>1</v>
      </c>
    </row>
    <row r="1433" spans="1:10" x14ac:dyDescent="0.25">
      <c r="A1433">
        <v>1</v>
      </c>
      <c r="B1433">
        <v>3</v>
      </c>
      <c r="C1433" t="s">
        <v>81</v>
      </c>
      <c r="D1433" t="s">
        <v>15</v>
      </c>
      <c r="E1433" t="s">
        <v>25</v>
      </c>
      <c r="F1433">
        <v>91844</v>
      </c>
      <c r="G1433">
        <f>+YEAR(Tabla__192.168.1.8_POSEIDONSQL_APPFVT_01_SQLFacturasRendidas[[#This Row],[f_facturacion]])</f>
        <v>2018</v>
      </c>
      <c r="H143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433">
        <f>+IF(Tabla__192.168.1.8_POSEIDONSQL_APPFVT_01_SQLFacturasRendidas[[#This Row],[epc_nombre]]="RENDIDA",1,0)</f>
        <v>1</v>
      </c>
      <c r="J1433">
        <f>+IF(Tabla__192.168.1.8_POSEIDONSQL_APPFVT_01_SQLFacturasRendidas[[#This Row],[usu_codigo]]="","",1)</f>
        <v>1</v>
      </c>
    </row>
    <row r="1434" spans="1:10" x14ac:dyDescent="0.25">
      <c r="A1434">
        <v>1</v>
      </c>
      <c r="B1434">
        <v>3</v>
      </c>
      <c r="C1434" t="s">
        <v>81</v>
      </c>
      <c r="D1434" t="s">
        <v>15</v>
      </c>
      <c r="E1434" t="s">
        <v>25</v>
      </c>
      <c r="F1434">
        <v>91845</v>
      </c>
      <c r="G1434">
        <f>+YEAR(Tabla__192.168.1.8_POSEIDONSQL_APPFVT_01_SQLFacturasRendidas[[#This Row],[f_facturacion]])</f>
        <v>2018</v>
      </c>
      <c r="H143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434">
        <f>+IF(Tabla__192.168.1.8_POSEIDONSQL_APPFVT_01_SQLFacturasRendidas[[#This Row],[epc_nombre]]="RENDIDA",1,0)</f>
        <v>1</v>
      </c>
      <c r="J1434">
        <f>+IF(Tabla__192.168.1.8_POSEIDONSQL_APPFVT_01_SQLFacturasRendidas[[#This Row],[usu_codigo]]="","",1)</f>
        <v>1</v>
      </c>
    </row>
    <row r="1435" spans="1:10" x14ac:dyDescent="0.25">
      <c r="A1435">
        <v>1</v>
      </c>
      <c r="B1435">
        <v>3</v>
      </c>
      <c r="C1435" t="s">
        <v>81</v>
      </c>
      <c r="D1435" t="s">
        <v>15</v>
      </c>
      <c r="E1435" t="s">
        <v>25</v>
      </c>
      <c r="F1435">
        <v>91846</v>
      </c>
      <c r="G1435">
        <f>+YEAR(Tabla__192.168.1.8_POSEIDONSQL_APPFVT_01_SQLFacturasRendidas[[#This Row],[f_facturacion]])</f>
        <v>2018</v>
      </c>
      <c r="H143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435">
        <f>+IF(Tabla__192.168.1.8_POSEIDONSQL_APPFVT_01_SQLFacturasRendidas[[#This Row],[epc_nombre]]="RENDIDA",1,0)</f>
        <v>1</v>
      </c>
      <c r="J1435">
        <f>+IF(Tabla__192.168.1.8_POSEIDONSQL_APPFVT_01_SQLFacturasRendidas[[#This Row],[usu_codigo]]="","",1)</f>
        <v>1</v>
      </c>
    </row>
    <row r="1436" spans="1:10" x14ac:dyDescent="0.25">
      <c r="A1436">
        <v>1</v>
      </c>
      <c r="B1436">
        <v>3</v>
      </c>
      <c r="C1436" t="s">
        <v>81</v>
      </c>
      <c r="D1436" t="s">
        <v>15</v>
      </c>
      <c r="E1436" t="s">
        <v>25</v>
      </c>
      <c r="F1436">
        <v>91847</v>
      </c>
      <c r="G1436">
        <f>+YEAR(Tabla__192.168.1.8_POSEIDONSQL_APPFVT_01_SQLFacturasRendidas[[#This Row],[f_facturacion]])</f>
        <v>2018</v>
      </c>
      <c r="H143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436">
        <f>+IF(Tabla__192.168.1.8_POSEIDONSQL_APPFVT_01_SQLFacturasRendidas[[#This Row],[epc_nombre]]="RENDIDA",1,0)</f>
        <v>1</v>
      </c>
      <c r="J1436">
        <f>+IF(Tabla__192.168.1.8_POSEIDONSQL_APPFVT_01_SQLFacturasRendidas[[#This Row],[usu_codigo]]="","",1)</f>
        <v>1</v>
      </c>
    </row>
    <row r="1437" spans="1:10" x14ac:dyDescent="0.25">
      <c r="A1437">
        <v>1</v>
      </c>
      <c r="B1437">
        <v>3</v>
      </c>
      <c r="C1437" t="s">
        <v>81</v>
      </c>
      <c r="D1437" t="s">
        <v>15</v>
      </c>
      <c r="E1437" t="s">
        <v>25</v>
      </c>
      <c r="F1437">
        <v>91848</v>
      </c>
      <c r="G1437">
        <f>+YEAR(Tabla__192.168.1.8_POSEIDONSQL_APPFVT_01_SQLFacturasRendidas[[#This Row],[f_facturacion]])</f>
        <v>2018</v>
      </c>
      <c r="H143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437">
        <f>+IF(Tabla__192.168.1.8_POSEIDONSQL_APPFVT_01_SQLFacturasRendidas[[#This Row],[epc_nombre]]="RENDIDA",1,0)</f>
        <v>1</v>
      </c>
      <c r="J1437">
        <f>+IF(Tabla__192.168.1.8_POSEIDONSQL_APPFVT_01_SQLFacturasRendidas[[#This Row],[usu_codigo]]="","",1)</f>
        <v>1</v>
      </c>
    </row>
    <row r="1438" spans="1:10" x14ac:dyDescent="0.25">
      <c r="A1438">
        <v>1</v>
      </c>
      <c r="B1438">
        <v>3</v>
      </c>
      <c r="C1438" t="s">
        <v>81</v>
      </c>
      <c r="D1438" t="s">
        <v>15</v>
      </c>
      <c r="E1438" t="s">
        <v>25</v>
      </c>
      <c r="F1438">
        <v>91849</v>
      </c>
      <c r="G1438">
        <f>+YEAR(Tabla__192.168.1.8_POSEIDONSQL_APPFVT_01_SQLFacturasRendidas[[#This Row],[f_facturacion]])</f>
        <v>2018</v>
      </c>
      <c r="H143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438">
        <f>+IF(Tabla__192.168.1.8_POSEIDONSQL_APPFVT_01_SQLFacturasRendidas[[#This Row],[epc_nombre]]="RENDIDA",1,0)</f>
        <v>1</v>
      </c>
      <c r="J1438">
        <f>+IF(Tabla__192.168.1.8_POSEIDONSQL_APPFVT_01_SQLFacturasRendidas[[#This Row],[usu_codigo]]="","",1)</f>
        <v>1</v>
      </c>
    </row>
    <row r="1439" spans="1:10" x14ac:dyDescent="0.25">
      <c r="A1439">
        <v>1</v>
      </c>
      <c r="B1439">
        <v>3</v>
      </c>
      <c r="C1439" t="s">
        <v>81</v>
      </c>
      <c r="D1439" t="s">
        <v>15</v>
      </c>
      <c r="E1439" t="s">
        <v>25</v>
      </c>
      <c r="F1439">
        <v>91850</v>
      </c>
      <c r="G1439">
        <f>+YEAR(Tabla__192.168.1.8_POSEIDONSQL_APPFVT_01_SQLFacturasRendidas[[#This Row],[f_facturacion]])</f>
        <v>2018</v>
      </c>
      <c r="H143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439">
        <f>+IF(Tabla__192.168.1.8_POSEIDONSQL_APPFVT_01_SQLFacturasRendidas[[#This Row],[epc_nombre]]="RENDIDA",1,0)</f>
        <v>1</v>
      </c>
      <c r="J1439">
        <f>+IF(Tabla__192.168.1.8_POSEIDONSQL_APPFVT_01_SQLFacturasRendidas[[#This Row],[usu_codigo]]="","",1)</f>
        <v>1</v>
      </c>
    </row>
    <row r="1440" spans="1:10" x14ac:dyDescent="0.25">
      <c r="A1440">
        <v>1</v>
      </c>
      <c r="B1440">
        <v>3</v>
      </c>
      <c r="C1440" t="s">
        <v>81</v>
      </c>
      <c r="D1440" t="s">
        <v>15</v>
      </c>
      <c r="E1440" t="s">
        <v>25</v>
      </c>
      <c r="F1440">
        <v>91851</v>
      </c>
      <c r="G1440">
        <f>+YEAR(Tabla__192.168.1.8_POSEIDONSQL_APPFVT_01_SQLFacturasRendidas[[#This Row],[f_facturacion]])</f>
        <v>2018</v>
      </c>
      <c r="H144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440">
        <f>+IF(Tabla__192.168.1.8_POSEIDONSQL_APPFVT_01_SQLFacturasRendidas[[#This Row],[epc_nombre]]="RENDIDA",1,0)</f>
        <v>1</v>
      </c>
      <c r="J1440">
        <f>+IF(Tabla__192.168.1.8_POSEIDONSQL_APPFVT_01_SQLFacturasRendidas[[#This Row],[usu_codigo]]="","",1)</f>
        <v>1</v>
      </c>
    </row>
    <row r="1441" spans="1:10" x14ac:dyDescent="0.25">
      <c r="A1441">
        <v>1</v>
      </c>
      <c r="B1441">
        <v>3</v>
      </c>
      <c r="C1441" t="s">
        <v>81</v>
      </c>
      <c r="D1441" t="s">
        <v>15</v>
      </c>
      <c r="E1441" t="s">
        <v>25</v>
      </c>
      <c r="F1441">
        <v>91852</v>
      </c>
      <c r="G1441">
        <f>+YEAR(Tabla__192.168.1.8_POSEIDONSQL_APPFVT_01_SQLFacturasRendidas[[#This Row],[f_facturacion]])</f>
        <v>2018</v>
      </c>
      <c r="H144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441">
        <f>+IF(Tabla__192.168.1.8_POSEIDONSQL_APPFVT_01_SQLFacturasRendidas[[#This Row],[epc_nombre]]="RENDIDA",1,0)</f>
        <v>1</v>
      </c>
      <c r="J1441">
        <f>+IF(Tabla__192.168.1.8_POSEIDONSQL_APPFVT_01_SQLFacturasRendidas[[#This Row],[usu_codigo]]="","",1)</f>
        <v>1</v>
      </c>
    </row>
    <row r="1442" spans="1:10" x14ac:dyDescent="0.25">
      <c r="A1442">
        <v>1</v>
      </c>
      <c r="B1442">
        <v>3</v>
      </c>
      <c r="C1442" t="s">
        <v>81</v>
      </c>
      <c r="D1442" t="s">
        <v>15</v>
      </c>
      <c r="E1442" t="s">
        <v>25</v>
      </c>
      <c r="F1442">
        <v>91853</v>
      </c>
      <c r="G1442">
        <f>+YEAR(Tabla__192.168.1.8_POSEIDONSQL_APPFVT_01_SQLFacturasRendidas[[#This Row],[f_facturacion]])</f>
        <v>2018</v>
      </c>
      <c r="H144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442">
        <f>+IF(Tabla__192.168.1.8_POSEIDONSQL_APPFVT_01_SQLFacturasRendidas[[#This Row],[epc_nombre]]="RENDIDA",1,0)</f>
        <v>1</v>
      </c>
      <c r="J1442">
        <f>+IF(Tabla__192.168.1.8_POSEIDONSQL_APPFVT_01_SQLFacturasRendidas[[#This Row],[usu_codigo]]="","",1)</f>
        <v>1</v>
      </c>
    </row>
    <row r="1443" spans="1:10" x14ac:dyDescent="0.25">
      <c r="A1443">
        <v>1</v>
      </c>
      <c r="B1443">
        <v>3</v>
      </c>
      <c r="C1443" t="s">
        <v>81</v>
      </c>
      <c r="D1443" t="s">
        <v>15</v>
      </c>
      <c r="E1443" t="s">
        <v>25</v>
      </c>
      <c r="F1443">
        <v>91854</v>
      </c>
      <c r="G1443">
        <f>+YEAR(Tabla__192.168.1.8_POSEIDONSQL_APPFVT_01_SQLFacturasRendidas[[#This Row],[f_facturacion]])</f>
        <v>2018</v>
      </c>
      <c r="H144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443">
        <f>+IF(Tabla__192.168.1.8_POSEIDONSQL_APPFVT_01_SQLFacturasRendidas[[#This Row],[epc_nombre]]="RENDIDA",1,0)</f>
        <v>1</v>
      </c>
      <c r="J1443">
        <f>+IF(Tabla__192.168.1.8_POSEIDONSQL_APPFVT_01_SQLFacturasRendidas[[#This Row],[usu_codigo]]="","",1)</f>
        <v>1</v>
      </c>
    </row>
    <row r="1444" spans="1:10" x14ac:dyDescent="0.25">
      <c r="A1444">
        <v>1</v>
      </c>
      <c r="B1444">
        <v>3</v>
      </c>
      <c r="C1444" t="s">
        <v>81</v>
      </c>
      <c r="D1444" t="s">
        <v>15</v>
      </c>
      <c r="E1444" t="s">
        <v>27</v>
      </c>
      <c r="F1444">
        <v>91954</v>
      </c>
      <c r="G1444">
        <f>+YEAR(Tabla__192.168.1.8_POSEIDONSQL_APPFVT_01_SQLFacturasRendidas[[#This Row],[f_facturacion]])</f>
        <v>2018</v>
      </c>
      <c r="H144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444">
        <f>+IF(Tabla__192.168.1.8_POSEIDONSQL_APPFVT_01_SQLFacturasRendidas[[#This Row],[epc_nombre]]="RENDIDA",1,0)</f>
        <v>1</v>
      </c>
      <c r="J1444">
        <f>+IF(Tabla__192.168.1.8_POSEIDONSQL_APPFVT_01_SQLFacturasRendidas[[#This Row],[usu_codigo]]="","",1)</f>
        <v>1</v>
      </c>
    </row>
    <row r="1445" spans="1:10" x14ac:dyDescent="0.25">
      <c r="A1445">
        <v>1</v>
      </c>
      <c r="B1445">
        <v>3</v>
      </c>
      <c r="C1445" t="s">
        <v>81</v>
      </c>
      <c r="D1445" t="s">
        <v>15</v>
      </c>
      <c r="E1445" t="s">
        <v>27</v>
      </c>
      <c r="F1445">
        <v>91955</v>
      </c>
      <c r="G1445">
        <f>+YEAR(Tabla__192.168.1.8_POSEIDONSQL_APPFVT_01_SQLFacturasRendidas[[#This Row],[f_facturacion]])</f>
        <v>2018</v>
      </c>
      <c r="H144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445">
        <f>+IF(Tabla__192.168.1.8_POSEIDONSQL_APPFVT_01_SQLFacturasRendidas[[#This Row],[epc_nombre]]="RENDIDA",1,0)</f>
        <v>1</v>
      </c>
      <c r="J1445">
        <f>+IF(Tabla__192.168.1.8_POSEIDONSQL_APPFVT_01_SQLFacturasRendidas[[#This Row],[usu_codigo]]="","",1)</f>
        <v>1</v>
      </c>
    </row>
    <row r="1446" spans="1:10" x14ac:dyDescent="0.25">
      <c r="A1446">
        <v>1</v>
      </c>
      <c r="B1446">
        <v>3</v>
      </c>
      <c r="C1446" t="s">
        <v>81</v>
      </c>
      <c r="D1446" t="s">
        <v>15</v>
      </c>
      <c r="E1446" t="s">
        <v>27</v>
      </c>
      <c r="F1446">
        <v>91956</v>
      </c>
      <c r="G1446">
        <f>+YEAR(Tabla__192.168.1.8_POSEIDONSQL_APPFVT_01_SQLFacturasRendidas[[#This Row],[f_facturacion]])</f>
        <v>2018</v>
      </c>
      <c r="H144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446">
        <f>+IF(Tabla__192.168.1.8_POSEIDONSQL_APPFVT_01_SQLFacturasRendidas[[#This Row],[epc_nombre]]="RENDIDA",1,0)</f>
        <v>1</v>
      </c>
      <c r="J1446">
        <f>+IF(Tabla__192.168.1.8_POSEIDONSQL_APPFVT_01_SQLFacturasRendidas[[#This Row],[usu_codigo]]="","",1)</f>
        <v>1</v>
      </c>
    </row>
    <row r="1447" spans="1:10" x14ac:dyDescent="0.25">
      <c r="A1447">
        <v>1</v>
      </c>
      <c r="B1447">
        <v>3</v>
      </c>
      <c r="C1447" t="s">
        <v>81</v>
      </c>
      <c r="D1447" t="s">
        <v>15</v>
      </c>
      <c r="E1447" t="s">
        <v>27</v>
      </c>
      <c r="F1447">
        <v>91957</v>
      </c>
      <c r="G1447">
        <f>+YEAR(Tabla__192.168.1.8_POSEIDONSQL_APPFVT_01_SQLFacturasRendidas[[#This Row],[f_facturacion]])</f>
        <v>2018</v>
      </c>
      <c r="H144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447">
        <f>+IF(Tabla__192.168.1.8_POSEIDONSQL_APPFVT_01_SQLFacturasRendidas[[#This Row],[epc_nombre]]="RENDIDA",1,0)</f>
        <v>1</v>
      </c>
      <c r="J1447">
        <f>+IF(Tabla__192.168.1.8_POSEIDONSQL_APPFVT_01_SQLFacturasRendidas[[#This Row],[usu_codigo]]="","",1)</f>
        <v>1</v>
      </c>
    </row>
    <row r="1448" spans="1:10" x14ac:dyDescent="0.25">
      <c r="A1448">
        <v>1</v>
      </c>
      <c r="B1448">
        <v>3</v>
      </c>
      <c r="C1448" t="s">
        <v>81</v>
      </c>
      <c r="D1448" t="s">
        <v>15</v>
      </c>
      <c r="E1448" t="s">
        <v>27</v>
      </c>
      <c r="F1448">
        <v>91959</v>
      </c>
      <c r="G1448">
        <f>+YEAR(Tabla__192.168.1.8_POSEIDONSQL_APPFVT_01_SQLFacturasRendidas[[#This Row],[f_facturacion]])</f>
        <v>2018</v>
      </c>
      <c r="H144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448">
        <f>+IF(Tabla__192.168.1.8_POSEIDONSQL_APPFVT_01_SQLFacturasRendidas[[#This Row],[epc_nombre]]="RENDIDA",1,0)</f>
        <v>1</v>
      </c>
      <c r="J1448">
        <f>+IF(Tabla__192.168.1.8_POSEIDONSQL_APPFVT_01_SQLFacturasRendidas[[#This Row],[usu_codigo]]="","",1)</f>
        <v>1</v>
      </c>
    </row>
    <row r="1449" spans="1:10" x14ac:dyDescent="0.25">
      <c r="A1449">
        <v>1</v>
      </c>
      <c r="B1449">
        <v>3</v>
      </c>
      <c r="C1449" t="s">
        <v>81</v>
      </c>
      <c r="D1449" t="s">
        <v>15</v>
      </c>
      <c r="E1449" t="s">
        <v>27</v>
      </c>
      <c r="F1449">
        <v>91960</v>
      </c>
      <c r="G1449">
        <f>+YEAR(Tabla__192.168.1.8_POSEIDONSQL_APPFVT_01_SQLFacturasRendidas[[#This Row],[f_facturacion]])</f>
        <v>2018</v>
      </c>
      <c r="H144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449">
        <f>+IF(Tabla__192.168.1.8_POSEIDONSQL_APPFVT_01_SQLFacturasRendidas[[#This Row],[epc_nombre]]="RENDIDA",1,0)</f>
        <v>1</v>
      </c>
      <c r="J1449">
        <f>+IF(Tabla__192.168.1.8_POSEIDONSQL_APPFVT_01_SQLFacturasRendidas[[#This Row],[usu_codigo]]="","",1)</f>
        <v>1</v>
      </c>
    </row>
    <row r="1450" spans="1:10" x14ac:dyDescent="0.25">
      <c r="A1450">
        <v>1</v>
      </c>
      <c r="B1450">
        <v>3</v>
      </c>
      <c r="C1450" t="s">
        <v>81</v>
      </c>
      <c r="D1450" t="s">
        <v>15</v>
      </c>
      <c r="E1450" t="s">
        <v>27</v>
      </c>
      <c r="F1450">
        <v>91961</v>
      </c>
      <c r="G1450">
        <f>+YEAR(Tabla__192.168.1.8_POSEIDONSQL_APPFVT_01_SQLFacturasRendidas[[#This Row],[f_facturacion]])</f>
        <v>2018</v>
      </c>
      <c r="H145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450">
        <f>+IF(Tabla__192.168.1.8_POSEIDONSQL_APPFVT_01_SQLFacturasRendidas[[#This Row],[epc_nombre]]="RENDIDA",1,0)</f>
        <v>1</v>
      </c>
      <c r="J1450">
        <f>+IF(Tabla__192.168.1.8_POSEIDONSQL_APPFVT_01_SQLFacturasRendidas[[#This Row],[usu_codigo]]="","",1)</f>
        <v>1</v>
      </c>
    </row>
    <row r="1451" spans="1:10" x14ac:dyDescent="0.25">
      <c r="A1451">
        <v>1</v>
      </c>
      <c r="B1451">
        <v>3</v>
      </c>
      <c r="C1451" t="s">
        <v>81</v>
      </c>
      <c r="D1451" t="s">
        <v>15</v>
      </c>
      <c r="E1451" t="s">
        <v>27</v>
      </c>
      <c r="F1451">
        <v>91962</v>
      </c>
      <c r="G1451">
        <f>+YEAR(Tabla__192.168.1.8_POSEIDONSQL_APPFVT_01_SQLFacturasRendidas[[#This Row],[f_facturacion]])</f>
        <v>2018</v>
      </c>
      <c r="H145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451">
        <f>+IF(Tabla__192.168.1.8_POSEIDONSQL_APPFVT_01_SQLFacturasRendidas[[#This Row],[epc_nombre]]="RENDIDA",1,0)</f>
        <v>1</v>
      </c>
      <c r="J1451">
        <f>+IF(Tabla__192.168.1.8_POSEIDONSQL_APPFVT_01_SQLFacturasRendidas[[#This Row],[usu_codigo]]="","",1)</f>
        <v>1</v>
      </c>
    </row>
    <row r="1452" spans="1:10" x14ac:dyDescent="0.25">
      <c r="A1452">
        <v>1</v>
      </c>
      <c r="B1452">
        <v>3</v>
      </c>
      <c r="C1452" t="s">
        <v>81</v>
      </c>
      <c r="D1452" t="s">
        <v>15</v>
      </c>
      <c r="E1452" t="s">
        <v>27</v>
      </c>
      <c r="F1452">
        <v>91963</v>
      </c>
      <c r="G1452">
        <f>+YEAR(Tabla__192.168.1.8_POSEIDONSQL_APPFVT_01_SQLFacturasRendidas[[#This Row],[f_facturacion]])</f>
        <v>2018</v>
      </c>
      <c r="H145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452">
        <f>+IF(Tabla__192.168.1.8_POSEIDONSQL_APPFVT_01_SQLFacturasRendidas[[#This Row],[epc_nombre]]="RENDIDA",1,0)</f>
        <v>1</v>
      </c>
      <c r="J1452">
        <f>+IF(Tabla__192.168.1.8_POSEIDONSQL_APPFVT_01_SQLFacturasRendidas[[#This Row],[usu_codigo]]="","",1)</f>
        <v>1</v>
      </c>
    </row>
    <row r="1453" spans="1:10" x14ac:dyDescent="0.25">
      <c r="A1453">
        <v>1</v>
      </c>
      <c r="B1453">
        <v>3</v>
      </c>
      <c r="C1453" t="s">
        <v>81</v>
      </c>
      <c r="D1453" t="s">
        <v>15</v>
      </c>
      <c r="E1453" t="s">
        <v>27</v>
      </c>
      <c r="F1453">
        <v>91964</v>
      </c>
      <c r="G1453">
        <f>+YEAR(Tabla__192.168.1.8_POSEIDONSQL_APPFVT_01_SQLFacturasRendidas[[#This Row],[f_facturacion]])</f>
        <v>2018</v>
      </c>
      <c r="H145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453">
        <f>+IF(Tabla__192.168.1.8_POSEIDONSQL_APPFVT_01_SQLFacturasRendidas[[#This Row],[epc_nombre]]="RENDIDA",1,0)</f>
        <v>1</v>
      </c>
      <c r="J1453">
        <f>+IF(Tabla__192.168.1.8_POSEIDONSQL_APPFVT_01_SQLFacturasRendidas[[#This Row],[usu_codigo]]="","",1)</f>
        <v>1</v>
      </c>
    </row>
    <row r="1454" spans="1:10" x14ac:dyDescent="0.25">
      <c r="A1454">
        <v>1</v>
      </c>
      <c r="B1454">
        <v>3</v>
      </c>
      <c r="C1454" t="s">
        <v>81</v>
      </c>
      <c r="D1454" t="s">
        <v>15</v>
      </c>
      <c r="E1454" t="s">
        <v>27</v>
      </c>
      <c r="F1454">
        <v>91965</v>
      </c>
      <c r="G1454">
        <f>+YEAR(Tabla__192.168.1.8_POSEIDONSQL_APPFVT_01_SQLFacturasRendidas[[#This Row],[f_facturacion]])</f>
        <v>2018</v>
      </c>
      <c r="H145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454">
        <f>+IF(Tabla__192.168.1.8_POSEIDONSQL_APPFVT_01_SQLFacturasRendidas[[#This Row],[epc_nombre]]="RENDIDA",1,0)</f>
        <v>1</v>
      </c>
      <c r="J1454">
        <f>+IF(Tabla__192.168.1.8_POSEIDONSQL_APPFVT_01_SQLFacturasRendidas[[#This Row],[usu_codigo]]="","",1)</f>
        <v>1</v>
      </c>
    </row>
    <row r="1455" spans="1:10" x14ac:dyDescent="0.25">
      <c r="A1455">
        <v>1</v>
      </c>
      <c r="B1455">
        <v>3</v>
      </c>
      <c r="C1455" t="s">
        <v>81</v>
      </c>
      <c r="D1455" t="s">
        <v>15</v>
      </c>
      <c r="E1455" t="s">
        <v>27</v>
      </c>
      <c r="F1455">
        <v>91966</v>
      </c>
      <c r="G1455">
        <f>+YEAR(Tabla__192.168.1.8_POSEIDONSQL_APPFVT_01_SQLFacturasRendidas[[#This Row],[f_facturacion]])</f>
        <v>2018</v>
      </c>
      <c r="H145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455">
        <f>+IF(Tabla__192.168.1.8_POSEIDONSQL_APPFVT_01_SQLFacturasRendidas[[#This Row],[epc_nombre]]="RENDIDA",1,0)</f>
        <v>1</v>
      </c>
      <c r="J1455">
        <f>+IF(Tabla__192.168.1.8_POSEIDONSQL_APPFVT_01_SQLFacturasRendidas[[#This Row],[usu_codigo]]="","",1)</f>
        <v>1</v>
      </c>
    </row>
    <row r="1456" spans="1:10" x14ac:dyDescent="0.25">
      <c r="A1456">
        <v>1</v>
      </c>
      <c r="B1456">
        <v>3</v>
      </c>
      <c r="C1456" t="s">
        <v>81</v>
      </c>
      <c r="D1456" t="s">
        <v>15</v>
      </c>
      <c r="E1456" t="s">
        <v>27</v>
      </c>
      <c r="F1456">
        <v>91967</v>
      </c>
      <c r="G1456">
        <f>+YEAR(Tabla__192.168.1.8_POSEIDONSQL_APPFVT_01_SQLFacturasRendidas[[#This Row],[f_facturacion]])</f>
        <v>2018</v>
      </c>
      <c r="H145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456">
        <f>+IF(Tabla__192.168.1.8_POSEIDONSQL_APPFVT_01_SQLFacturasRendidas[[#This Row],[epc_nombre]]="RENDIDA",1,0)</f>
        <v>1</v>
      </c>
      <c r="J1456">
        <f>+IF(Tabla__192.168.1.8_POSEIDONSQL_APPFVT_01_SQLFacturasRendidas[[#This Row],[usu_codigo]]="","",1)</f>
        <v>1</v>
      </c>
    </row>
    <row r="1457" spans="1:10" x14ac:dyDescent="0.25">
      <c r="A1457">
        <v>1</v>
      </c>
      <c r="B1457">
        <v>3</v>
      </c>
      <c r="C1457" t="s">
        <v>81</v>
      </c>
      <c r="D1457" t="s">
        <v>15</v>
      </c>
      <c r="E1457" t="s">
        <v>27</v>
      </c>
      <c r="F1457">
        <v>91968</v>
      </c>
      <c r="G1457">
        <f>+YEAR(Tabla__192.168.1.8_POSEIDONSQL_APPFVT_01_SQLFacturasRendidas[[#This Row],[f_facturacion]])</f>
        <v>2018</v>
      </c>
      <c r="H145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457">
        <f>+IF(Tabla__192.168.1.8_POSEIDONSQL_APPFVT_01_SQLFacturasRendidas[[#This Row],[epc_nombre]]="RENDIDA",1,0)</f>
        <v>1</v>
      </c>
      <c r="J1457">
        <f>+IF(Tabla__192.168.1.8_POSEIDONSQL_APPFVT_01_SQLFacturasRendidas[[#This Row],[usu_codigo]]="","",1)</f>
        <v>1</v>
      </c>
    </row>
    <row r="1458" spans="1:10" x14ac:dyDescent="0.25">
      <c r="A1458">
        <v>1</v>
      </c>
      <c r="B1458">
        <v>3</v>
      </c>
      <c r="C1458" t="s">
        <v>81</v>
      </c>
      <c r="D1458" t="s">
        <v>15</v>
      </c>
      <c r="E1458" t="s">
        <v>27</v>
      </c>
      <c r="F1458">
        <v>91969</v>
      </c>
      <c r="G1458">
        <f>+YEAR(Tabla__192.168.1.8_POSEIDONSQL_APPFVT_01_SQLFacturasRendidas[[#This Row],[f_facturacion]])</f>
        <v>2018</v>
      </c>
      <c r="H145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458">
        <f>+IF(Tabla__192.168.1.8_POSEIDONSQL_APPFVT_01_SQLFacturasRendidas[[#This Row],[epc_nombre]]="RENDIDA",1,0)</f>
        <v>1</v>
      </c>
      <c r="J1458">
        <f>+IF(Tabla__192.168.1.8_POSEIDONSQL_APPFVT_01_SQLFacturasRendidas[[#This Row],[usu_codigo]]="","",1)</f>
        <v>1</v>
      </c>
    </row>
    <row r="1459" spans="1:10" x14ac:dyDescent="0.25">
      <c r="A1459">
        <v>1</v>
      </c>
      <c r="B1459">
        <v>3</v>
      </c>
      <c r="C1459" t="s">
        <v>81</v>
      </c>
      <c r="D1459" t="s">
        <v>15</v>
      </c>
      <c r="E1459" t="s">
        <v>27</v>
      </c>
      <c r="F1459">
        <v>91970</v>
      </c>
      <c r="G1459">
        <f>+YEAR(Tabla__192.168.1.8_POSEIDONSQL_APPFVT_01_SQLFacturasRendidas[[#This Row],[f_facturacion]])</f>
        <v>2018</v>
      </c>
      <c r="H145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459">
        <f>+IF(Tabla__192.168.1.8_POSEIDONSQL_APPFVT_01_SQLFacturasRendidas[[#This Row],[epc_nombre]]="RENDIDA",1,0)</f>
        <v>1</v>
      </c>
      <c r="J1459">
        <f>+IF(Tabla__192.168.1.8_POSEIDONSQL_APPFVT_01_SQLFacturasRendidas[[#This Row],[usu_codigo]]="","",1)</f>
        <v>1</v>
      </c>
    </row>
    <row r="1460" spans="1:10" x14ac:dyDescent="0.25">
      <c r="A1460">
        <v>1</v>
      </c>
      <c r="B1460">
        <v>3</v>
      </c>
      <c r="C1460" t="s">
        <v>81</v>
      </c>
      <c r="D1460" t="s">
        <v>15</v>
      </c>
      <c r="E1460" t="s">
        <v>27</v>
      </c>
      <c r="F1460">
        <v>91971</v>
      </c>
      <c r="G1460">
        <f>+YEAR(Tabla__192.168.1.8_POSEIDONSQL_APPFVT_01_SQLFacturasRendidas[[#This Row],[f_facturacion]])</f>
        <v>2018</v>
      </c>
      <c r="H146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460">
        <f>+IF(Tabla__192.168.1.8_POSEIDONSQL_APPFVT_01_SQLFacturasRendidas[[#This Row],[epc_nombre]]="RENDIDA",1,0)</f>
        <v>1</v>
      </c>
      <c r="J1460">
        <f>+IF(Tabla__192.168.1.8_POSEIDONSQL_APPFVT_01_SQLFacturasRendidas[[#This Row],[usu_codigo]]="","",1)</f>
        <v>1</v>
      </c>
    </row>
    <row r="1461" spans="1:10" x14ac:dyDescent="0.25">
      <c r="A1461">
        <v>1</v>
      </c>
      <c r="B1461">
        <v>3</v>
      </c>
      <c r="C1461" t="s">
        <v>81</v>
      </c>
      <c r="D1461" t="s">
        <v>15</v>
      </c>
      <c r="E1461" t="s">
        <v>66</v>
      </c>
      <c r="F1461">
        <v>92126</v>
      </c>
      <c r="G1461">
        <f>+YEAR(Tabla__192.168.1.8_POSEIDONSQL_APPFVT_01_SQLFacturasRendidas[[#This Row],[f_facturacion]])</f>
        <v>2018</v>
      </c>
      <c r="H146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ABRIL</v>
      </c>
      <c r="I1461">
        <f>+IF(Tabla__192.168.1.8_POSEIDONSQL_APPFVT_01_SQLFacturasRendidas[[#This Row],[epc_nombre]]="RENDIDA",1,0)</f>
        <v>1</v>
      </c>
      <c r="J1461">
        <f>+IF(Tabla__192.168.1.8_POSEIDONSQL_APPFVT_01_SQLFacturasRendidas[[#This Row],[usu_codigo]]="","",1)</f>
        <v>1</v>
      </c>
    </row>
    <row r="1462" spans="1:10" x14ac:dyDescent="0.25">
      <c r="A1462">
        <v>1</v>
      </c>
      <c r="B1462">
        <v>3</v>
      </c>
      <c r="C1462" t="s">
        <v>81</v>
      </c>
      <c r="D1462" t="s">
        <v>15</v>
      </c>
      <c r="E1462" t="s">
        <v>16</v>
      </c>
      <c r="F1462">
        <v>90083</v>
      </c>
      <c r="G1462">
        <f>+YEAR(Tabla__192.168.1.8_POSEIDONSQL_APPFVT_01_SQLFacturasRendidas[[#This Row],[f_facturacion]])</f>
        <v>2018</v>
      </c>
      <c r="H146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462">
        <f>+IF(Tabla__192.168.1.8_POSEIDONSQL_APPFVT_01_SQLFacturasRendidas[[#This Row],[epc_nombre]]="RENDIDA",1,0)</f>
        <v>1</v>
      </c>
      <c r="J1462">
        <f>+IF(Tabla__192.168.1.8_POSEIDONSQL_APPFVT_01_SQLFacturasRendidas[[#This Row],[usu_codigo]]="","",1)</f>
        <v>1</v>
      </c>
    </row>
    <row r="1463" spans="1:10" x14ac:dyDescent="0.25">
      <c r="A1463">
        <v>1</v>
      </c>
      <c r="B1463">
        <v>3</v>
      </c>
      <c r="C1463" t="s">
        <v>81</v>
      </c>
      <c r="D1463" t="s">
        <v>15</v>
      </c>
      <c r="E1463" t="s">
        <v>16</v>
      </c>
      <c r="F1463">
        <v>90084</v>
      </c>
      <c r="G1463">
        <f>+YEAR(Tabla__192.168.1.8_POSEIDONSQL_APPFVT_01_SQLFacturasRendidas[[#This Row],[f_facturacion]])</f>
        <v>2018</v>
      </c>
      <c r="H146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463">
        <f>+IF(Tabla__192.168.1.8_POSEIDONSQL_APPFVT_01_SQLFacturasRendidas[[#This Row],[epc_nombre]]="RENDIDA",1,0)</f>
        <v>1</v>
      </c>
      <c r="J1463">
        <f>+IF(Tabla__192.168.1.8_POSEIDONSQL_APPFVT_01_SQLFacturasRendidas[[#This Row],[usu_codigo]]="","",1)</f>
        <v>1</v>
      </c>
    </row>
    <row r="1464" spans="1:10" x14ac:dyDescent="0.25">
      <c r="A1464">
        <v>1</v>
      </c>
      <c r="B1464">
        <v>3</v>
      </c>
      <c r="C1464" t="s">
        <v>81</v>
      </c>
      <c r="D1464" t="s">
        <v>15</v>
      </c>
      <c r="E1464" t="s">
        <v>16</v>
      </c>
      <c r="F1464">
        <v>90085</v>
      </c>
      <c r="G1464">
        <f>+YEAR(Tabla__192.168.1.8_POSEIDONSQL_APPFVT_01_SQLFacturasRendidas[[#This Row],[f_facturacion]])</f>
        <v>2018</v>
      </c>
      <c r="H146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464">
        <f>+IF(Tabla__192.168.1.8_POSEIDONSQL_APPFVT_01_SQLFacturasRendidas[[#This Row],[epc_nombre]]="RENDIDA",1,0)</f>
        <v>1</v>
      </c>
      <c r="J1464">
        <f>+IF(Tabla__192.168.1.8_POSEIDONSQL_APPFVT_01_SQLFacturasRendidas[[#This Row],[usu_codigo]]="","",1)</f>
        <v>1</v>
      </c>
    </row>
    <row r="1465" spans="1:10" x14ac:dyDescent="0.25">
      <c r="A1465">
        <v>1</v>
      </c>
      <c r="B1465">
        <v>3</v>
      </c>
      <c r="C1465" t="s">
        <v>81</v>
      </c>
      <c r="D1465" t="s">
        <v>15</v>
      </c>
      <c r="E1465" t="s">
        <v>16</v>
      </c>
      <c r="F1465">
        <v>90086</v>
      </c>
      <c r="G1465">
        <f>+YEAR(Tabla__192.168.1.8_POSEIDONSQL_APPFVT_01_SQLFacturasRendidas[[#This Row],[f_facturacion]])</f>
        <v>2018</v>
      </c>
      <c r="H146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465">
        <f>+IF(Tabla__192.168.1.8_POSEIDONSQL_APPFVT_01_SQLFacturasRendidas[[#This Row],[epc_nombre]]="RENDIDA",1,0)</f>
        <v>1</v>
      </c>
      <c r="J1465">
        <f>+IF(Tabla__192.168.1.8_POSEIDONSQL_APPFVT_01_SQLFacturasRendidas[[#This Row],[usu_codigo]]="","",1)</f>
        <v>1</v>
      </c>
    </row>
    <row r="1466" spans="1:10" x14ac:dyDescent="0.25">
      <c r="A1466">
        <v>1</v>
      </c>
      <c r="B1466">
        <v>3</v>
      </c>
      <c r="C1466" t="s">
        <v>81</v>
      </c>
      <c r="D1466" t="s">
        <v>15</v>
      </c>
      <c r="E1466" t="s">
        <v>16</v>
      </c>
      <c r="F1466">
        <v>90087</v>
      </c>
      <c r="G1466">
        <f>+YEAR(Tabla__192.168.1.8_POSEIDONSQL_APPFVT_01_SQLFacturasRendidas[[#This Row],[f_facturacion]])</f>
        <v>2018</v>
      </c>
      <c r="H146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466">
        <f>+IF(Tabla__192.168.1.8_POSEIDONSQL_APPFVT_01_SQLFacturasRendidas[[#This Row],[epc_nombre]]="RENDIDA",1,0)</f>
        <v>1</v>
      </c>
      <c r="J1466">
        <f>+IF(Tabla__192.168.1.8_POSEIDONSQL_APPFVT_01_SQLFacturasRendidas[[#This Row],[usu_codigo]]="","",1)</f>
        <v>1</v>
      </c>
    </row>
    <row r="1467" spans="1:10" x14ac:dyDescent="0.25">
      <c r="A1467">
        <v>1</v>
      </c>
      <c r="B1467">
        <v>3</v>
      </c>
      <c r="C1467" t="s">
        <v>81</v>
      </c>
      <c r="D1467" t="s">
        <v>15</v>
      </c>
      <c r="E1467" t="s">
        <v>16</v>
      </c>
      <c r="F1467">
        <v>90088</v>
      </c>
      <c r="G1467">
        <f>+YEAR(Tabla__192.168.1.8_POSEIDONSQL_APPFVT_01_SQLFacturasRendidas[[#This Row],[f_facturacion]])</f>
        <v>2018</v>
      </c>
      <c r="H146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467">
        <f>+IF(Tabla__192.168.1.8_POSEIDONSQL_APPFVT_01_SQLFacturasRendidas[[#This Row],[epc_nombre]]="RENDIDA",1,0)</f>
        <v>1</v>
      </c>
      <c r="J1467">
        <f>+IF(Tabla__192.168.1.8_POSEIDONSQL_APPFVT_01_SQLFacturasRendidas[[#This Row],[usu_codigo]]="","",1)</f>
        <v>1</v>
      </c>
    </row>
    <row r="1468" spans="1:10" x14ac:dyDescent="0.25">
      <c r="A1468">
        <v>1</v>
      </c>
      <c r="B1468">
        <v>3</v>
      </c>
      <c r="C1468" t="s">
        <v>81</v>
      </c>
      <c r="D1468" t="s">
        <v>15</v>
      </c>
      <c r="E1468" t="s">
        <v>16</v>
      </c>
      <c r="F1468">
        <v>90089</v>
      </c>
      <c r="G1468">
        <f>+YEAR(Tabla__192.168.1.8_POSEIDONSQL_APPFVT_01_SQLFacturasRendidas[[#This Row],[f_facturacion]])</f>
        <v>2018</v>
      </c>
      <c r="H146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468">
        <f>+IF(Tabla__192.168.1.8_POSEIDONSQL_APPFVT_01_SQLFacturasRendidas[[#This Row],[epc_nombre]]="RENDIDA",1,0)</f>
        <v>1</v>
      </c>
      <c r="J1468">
        <f>+IF(Tabla__192.168.1.8_POSEIDONSQL_APPFVT_01_SQLFacturasRendidas[[#This Row],[usu_codigo]]="","",1)</f>
        <v>1</v>
      </c>
    </row>
    <row r="1469" spans="1:10" x14ac:dyDescent="0.25">
      <c r="A1469">
        <v>1</v>
      </c>
      <c r="B1469">
        <v>3</v>
      </c>
      <c r="C1469" t="s">
        <v>81</v>
      </c>
      <c r="D1469" t="s">
        <v>15</v>
      </c>
      <c r="E1469" t="s">
        <v>16</v>
      </c>
      <c r="F1469">
        <v>90092</v>
      </c>
      <c r="G1469">
        <f>+YEAR(Tabla__192.168.1.8_POSEIDONSQL_APPFVT_01_SQLFacturasRendidas[[#This Row],[f_facturacion]])</f>
        <v>2018</v>
      </c>
      <c r="H146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469">
        <f>+IF(Tabla__192.168.1.8_POSEIDONSQL_APPFVT_01_SQLFacturasRendidas[[#This Row],[epc_nombre]]="RENDIDA",1,0)</f>
        <v>1</v>
      </c>
      <c r="J1469">
        <f>+IF(Tabla__192.168.1.8_POSEIDONSQL_APPFVT_01_SQLFacturasRendidas[[#This Row],[usu_codigo]]="","",1)</f>
        <v>1</v>
      </c>
    </row>
    <row r="1470" spans="1:10" x14ac:dyDescent="0.25">
      <c r="A1470">
        <v>1</v>
      </c>
      <c r="B1470">
        <v>3</v>
      </c>
      <c r="C1470" t="s">
        <v>81</v>
      </c>
      <c r="D1470" t="s">
        <v>15</v>
      </c>
      <c r="E1470" t="s">
        <v>16</v>
      </c>
      <c r="F1470">
        <v>90093</v>
      </c>
      <c r="G1470">
        <f>+YEAR(Tabla__192.168.1.8_POSEIDONSQL_APPFVT_01_SQLFacturasRendidas[[#This Row],[f_facturacion]])</f>
        <v>2018</v>
      </c>
      <c r="H147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470">
        <f>+IF(Tabla__192.168.1.8_POSEIDONSQL_APPFVT_01_SQLFacturasRendidas[[#This Row],[epc_nombre]]="RENDIDA",1,0)</f>
        <v>1</v>
      </c>
      <c r="J1470">
        <f>+IF(Tabla__192.168.1.8_POSEIDONSQL_APPFVT_01_SQLFacturasRendidas[[#This Row],[usu_codigo]]="","",1)</f>
        <v>1</v>
      </c>
    </row>
    <row r="1471" spans="1:10" x14ac:dyDescent="0.25">
      <c r="A1471">
        <v>1</v>
      </c>
      <c r="B1471">
        <v>3</v>
      </c>
      <c r="C1471" t="s">
        <v>81</v>
      </c>
      <c r="D1471" t="s">
        <v>15</v>
      </c>
      <c r="E1471" t="s">
        <v>36</v>
      </c>
      <c r="F1471">
        <v>90153</v>
      </c>
      <c r="G1471">
        <f>+YEAR(Tabla__192.168.1.8_POSEIDONSQL_APPFVT_01_SQLFacturasRendidas[[#This Row],[f_facturacion]])</f>
        <v>2018</v>
      </c>
      <c r="H147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471">
        <f>+IF(Tabla__192.168.1.8_POSEIDONSQL_APPFVT_01_SQLFacturasRendidas[[#This Row],[epc_nombre]]="RENDIDA",1,0)</f>
        <v>1</v>
      </c>
      <c r="J1471">
        <f>+IF(Tabla__192.168.1.8_POSEIDONSQL_APPFVT_01_SQLFacturasRendidas[[#This Row],[usu_codigo]]="","",1)</f>
        <v>1</v>
      </c>
    </row>
    <row r="1472" spans="1:10" x14ac:dyDescent="0.25">
      <c r="A1472">
        <v>1</v>
      </c>
      <c r="B1472">
        <v>3</v>
      </c>
      <c r="C1472" t="s">
        <v>81</v>
      </c>
      <c r="D1472" t="s">
        <v>15</v>
      </c>
      <c r="E1472" t="s">
        <v>36</v>
      </c>
      <c r="F1472">
        <v>90154</v>
      </c>
      <c r="G1472">
        <f>+YEAR(Tabla__192.168.1.8_POSEIDONSQL_APPFVT_01_SQLFacturasRendidas[[#This Row],[f_facturacion]])</f>
        <v>2018</v>
      </c>
      <c r="H147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472">
        <f>+IF(Tabla__192.168.1.8_POSEIDONSQL_APPFVT_01_SQLFacturasRendidas[[#This Row],[epc_nombre]]="RENDIDA",1,0)</f>
        <v>1</v>
      </c>
      <c r="J1472">
        <f>+IF(Tabla__192.168.1.8_POSEIDONSQL_APPFVT_01_SQLFacturasRendidas[[#This Row],[usu_codigo]]="","",1)</f>
        <v>1</v>
      </c>
    </row>
    <row r="1473" spans="1:10" x14ac:dyDescent="0.25">
      <c r="A1473">
        <v>1</v>
      </c>
      <c r="B1473">
        <v>3</v>
      </c>
      <c r="C1473" t="s">
        <v>81</v>
      </c>
      <c r="D1473" t="s">
        <v>15</v>
      </c>
      <c r="E1473" t="s">
        <v>36</v>
      </c>
      <c r="F1473">
        <v>90155</v>
      </c>
      <c r="G1473">
        <f>+YEAR(Tabla__192.168.1.8_POSEIDONSQL_APPFVT_01_SQLFacturasRendidas[[#This Row],[f_facturacion]])</f>
        <v>2018</v>
      </c>
      <c r="H147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473">
        <f>+IF(Tabla__192.168.1.8_POSEIDONSQL_APPFVT_01_SQLFacturasRendidas[[#This Row],[epc_nombre]]="RENDIDA",1,0)</f>
        <v>1</v>
      </c>
      <c r="J1473">
        <f>+IF(Tabla__192.168.1.8_POSEIDONSQL_APPFVT_01_SQLFacturasRendidas[[#This Row],[usu_codigo]]="","",1)</f>
        <v>1</v>
      </c>
    </row>
    <row r="1474" spans="1:10" x14ac:dyDescent="0.25">
      <c r="A1474">
        <v>1</v>
      </c>
      <c r="B1474">
        <v>3</v>
      </c>
      <c r="C1474" t="s">
        <v>81</v>
      </c>
      <c r="D1474" t="s">
        <v>15</v>
      </c>
      <c r="E1474" t="s">
        <v>36</v>
      </c>
      <c r="F1474">
        <v>90156</v>
      </c>
      <c r="G1474">
        <f>+YEAR(Tabla__192.168.1.8_POSEIDONSQL_APPFVT_01_SQLFacturasRendidas[[#This Row],[f_facturacion]])</f>
        <v>2018</v>
      </c>
      <c r="H147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474">
        <f>+IF(Tabla__192.168.1.8_POSEIDONSQL_APPFVT_01_SQLFacturasRendidas[[#This Row],[epc_nombre]]="RENDIDA",1,0)</f>
        <v>1</v>
      </c>
      <c r="J1474">
        <f>+IF(Tabla__192.168.1.8_POSEIDONSQL_APPFVT_01_SQLFacturasRendidas[[#This Row],[usu_codigo]]="","",1)</f>
        <v>1</v>
      </c>
    </row>
    <row r="1475" spans="1:10" x14ac:dyDescent="0.25">
      <c r="A1475">
        <v>1</v>
      </c>
      <c r="B1475">
        <v>3</v>
      </c>
      <c r="C1475" t="s">
        <v>81</v>
      </c>
      <c r="D1475" t="s">
        <v>15</v>
      </c>
      <c r="E1475" t="s">
        <v>36</v>
      </c>
      <c r="F1475">
        <v>90157</v>
      </c>
      <c r="G1475">
        <f>+YEAR(Tabla__192.168.1.8_POSEIDONSQL_APPFVT_01_SQLFacturasRendidas[[#This Row],[f_facturacion]])</f>
        <v>2018</v>
      </c>
      <c r="H147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475">
        <f>+IF(Tabla__192.168.1.8_POSEIDONSQL_APPFVT_01_SQLFacturasRendidas[[#This Row],[epc_nombre]]="RENDIDA",1,0)</f>
        <v>1</v>
      </c>
      <c r="J1475">
        <f>+IF(Tabla__192.168.1.8_POSEIDONSQL_APPFVT_01_SQLFacturasRendidas[[#This Row],[usu_codigo]]="","",1)</f>
        <v>1</v>
      </c>
    </row>
    <row r="1476" spans="1:10" x14ac:dyDescent="0.25">
      <c r="A1476">
        <v>1</v>
      </c>
      <c r="B1476">
        <v>3</v>
      </c>
      <c r="C1476" t="s">
        <v>81</v>
      </c>
      <c r="D1476" t="s">
        <v>15</v>
      </c>
      <c r="E1476" t="s">
        <v>36</v>
      </c>
      <c r="F1476">
        <v>90158</v>
      </c>
      <c r="G1476">
        <f>+YEAR(Tabla__192.168.1.8_POSEIDONSQL_APPFVT_01_SQLFacturasRendidas[[#This Row],[f_facturacion]])</f>
        <v>2018</v>
      </c>
      <c r="H147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476">
        <f>+IF(Tabla__192.168.1.8_POSEIDONSQL_APPFVT_01_SQLFacturasRendidas[[#This Row],[epc_nombre]]="RENDIDA",1,0)</f>
        <v>1</v>
      </c>
      <c r="J1476">
        <f>+IF(Tabla__192.168.1.8_POSEIDONSQL_APPFVT_01_SQLFacturasRendidas[[#This Row],[usu_codigo]]="","",1)</f>
        <v>1</v>
      </c>
    </row>
    <row r="1477" spans="1:10" x14ac:dyDescent="0.25">
      <c r="A1477">
        <v>1</v>
      </c>
      <c r="B1477">
        <v>3</v>
      </c>
      <c r="C1477" t="s">
        <v>81</v>
      </c>
      <c r="D1477" t="s">
        <v>15</v>
      </c>
      <c r="E1477" t="s">
        <v>36</v>
      </c>
      <c r="F1477">
        <v>90159</v>
      </c>
      <c r="G1477">
        <f>+YEAR(Tabla__192.168.1.8_POSEIDONSQL_APPFVT_01_SQLFacturasRendidas[[#This Row],[f_facturacion]])</f>
        <v>2018</v>
      </c>
      <c r="H147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477">
        <f>+IF(Tabla__192.168.1.8_POSEIDONSQL_APPFVT_01_SQLFacturasRendidas[[#This Row],[epc_nombre]]="RENDIDA",1,0)</f>
        <v>1</v>
      </c>
      <c r="J1477">
        <f>+IF(Tabla__192.168.1.8_POSEIDONSQL_APPFVT_01_SQLFacturasRendidas[[#This Row],[usu_codigo]]="","",1)</f>
        <v>1</v>
      </c>
    </row>
    <row r="1478" spans="1:10" x14ac:dyDescent="0.25">
      <c r="A1478">
        <v>1</v>
      </c>
      <c r="B1478">
        <v>3</v>
      </c>
      <c r="C1478" t="s">
        <v>81</v>
      </c>
      <c r="D1478" t="s">
        <v>15</v>
      </c>
      <c r="E1478" t="s">
        <v>36</v>
      </c>
      <c r="F1478">
        <v>90160</v>
      </c>
      <c r="G1478">
        <f>+YEAR(Tabla__192.168.1.8_POSEIDONSQL_APPFVT_01_SQLFacturasRendidas[[#This Row],[f_facturacion]])</f>
        <v>2018</v>
      </c>
      <c r="H147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478">
        <f>+IF(Tabla__192.168.1.8_POSEIDONSQL_APPFVT_01_SQLFacturasRendidas[[#This Row],[epc_nombre]]="RENDIDA",1,0)</f>
        <v>1</v>
      </c>
      <c r="J1478">
        <f>+IF(Tabla__192.168.1.8_POSEIDONSQL_APPFVT_01_SQLFacturasRendidas[[#This Row],[usu_codigo]]="","",1)</f>
        <v>1</v>
      </c>
    </row>
    <row r="1479" spans="1:10" x14ac:dyDescent="0.25">
      <c r="A1479">
        <v>1</v>
      </c>
      <c r="B1479">
        <v>3</v>
      </c>
      <c r="C1479" t="s">
        <v>81</v>
      </c>
      <c r="D1479" t="s">
        <v>15</v>
      </c>
      <c r="E1479" t="s">
        <v>36</v>
      </c>
      <c r="F1479">
        <v>90161</v>
      </c>
      <c r="G1479">
        <f>+YEAR(Tabla__192.168.1.8_POSEIDONSQL_APPFVT_01_SQLFacturasRendidas[[#This Row],[f_facturacion]])</f>
        <v>2018</v>
      </c>
      <c r="H147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479">
        <f>+IF(Tabla__192.168.1.8_POSEIDONSQL_APPFVT_01_SQLFacturasRendidas[[#This Row],[epc_nombre]]="RENDIDA",1,0)</f>
        <v>1</v>
      </c>
      <c r="J1479">
        <f>+IF(Tabla__192.168.1.8_POSEIDONSQL_APPFVT_01_SQLFacturasRendidas[[#This Row],[usu_codigo]]="","",1)</f>
        <v>1</v>
      </c>
    </row>
    <row r="1480" spans="1:10" x14ac:dyDescent="0.25">
      <c r="A1480">
        <v>1</v>
      </c>
      <c r="B1480">
        <v>3</v>
      </c>
      <c r="C1480" t="s">
        <v>81</v>
      </c>
      <c r="D1480" t="s">
        <v>15</v>
      </c>
      <c r="E1480" t="s">
        <v>36</v>
      </c>
      <c r="F1480">
        <v>90162</v>
      </c>
      <c r="G1480">
        <f>+YEAR(Tabla__192.168.1.8_POSEIDONSQL_APPFVT_01_SQLFacturasRendidas[[#This Row],[f_facturacion]])</f>
        <v>2018</v>
      </c>
      <c r="H148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480">
        <f>+IF(Tabla__192.168.1.8_POSEIDONSQL_APPFVT_01_SQLFacturasRendidas[[#This Row],[epc_nombre]]="RENDIDA",1,0)</f>
        <v>1</v>
      </c>
      <c r="J1480">
        <f>+IF(Tabla__192.168.1.8_POSEIDONSQL_APPFVT_01_SQLFacturasRendidas[[#This Row],[usu_codigo]]="","",1)</f>
        <v>1</v>
      </c>
    </row>
    <row r="1481" spans="1:10" x14ac:dyDescent="0.25">
      <c r="A1481">
        <v>1</v>
      </c>
      <c r="B1481">
        <v>3</v>
      </c>
      <c r="C1481" t="s">
        <v>81</v>
      </c>
      <c r="D1481" t="s">
        <v>15</v>
      </c>
      <c r="E1481" t="s">
        <v>36</v>
      </c>
      <c r="F1481">
        <v>90163</v>
      </c>
      <c r="G1481">
        <f>+YEAR(Tabla__192.168.1.8_POSEIDONSQL_APPFVT_01_SQLFacturasRendidas[[#This Row],[f_facturacion]])</f>
        <v>2018</v>
      </c>
      <c r="H148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481">
        <f>+IF(Tabla__192.168.1.8_POSEIDONSQL_APPFVT_01_SQLFacturasRendidas[[#This Row],[epc_nombre]]="RENDIDA",1,0)</f>
        <v>1</v>
      </c>
      <c r="J1481">
        <f>+IF(Tabla__192.168.1.8_POSEIDONSQL_APPFVT_01_SQLFacturasRendidas[[#This Row],[usu_codigo]]="","",1)</f>
        <v>1</v>
      </c>
    </row>
    <row r="1482" spans="1:10" x14ac:dyDescent="0.25">
      <c r="A1482">
        <v>1</v>
      </c>
      <c r="B1482">
        <v>3</v>
      </c>
      <c r="C1482" t="s">
        <v>81</v>
      </c>
      <c r="D1482" t="s">
        <v>15</v>
      </c>
      <c r="E1482" t="s">
        <v>36</v>
      </c>
      <c r="F1482">
        <v>90164</v>
      </c>
      <c r="G1482">
        <f>+YEAR(Tabla__192.168.1.8_POSEIDONSQL_APPFVT_01_SQLFacturasRendidas[[#This Row],[f_facturacion]])</f>
        <v>2018</v>
      </c>
      <c r="H148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482">
        <f>+IF(Tabla__192.168.1.8_POSEIDONSQL_APPFVT_01_SQLFacturasRendidas[[#This Row],[epc_nombre]]="RENDIDA",1,0)</f>
        <v>1</v>
      </c>
      <c r="J1482">
        <f>+IF(Tabla__192.168.1.8_POSEIDONSQL_APPFVT_01_SQLFacturasRendidas[[#This Row],[usu_codigo]]="","",1)</f>
        <v>1</v>
      </c>
    </row>
    <row r="1483" spans="1:10" x14ac:dyDescent="0.25">
      <c r="A1483">
        <v>1</v>
      </c>
      <c r="B1483">
        <v>3</v>
      </c>
      <c r="C1483" t="s">
        <v>81</v>
      </c>
      <c r="D1483" t="s">
        <v>15</v>
      </c>
      <c r="E1483" t="s">
        <v>36</v>
      </c>
      <c r="F1483">
        <v>90165</v>
      </c>
      <c r="G1483">
        <f>+YEAR(Tabla__192.168.1.8_POSEIDONSQL_APPFVT_01_SQLFacturasRendidas[[#This Row],[f_facturacion]])</f>
        <v>2018</v>
      </c>
      <c r="H148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483">
        <f>+IF(Tabla__192.168.1.8_POSEIDONSQL_APPFVT_01_SQLFacturasRendidas[[#This Row],[epc_nombre]]="RENDIDA",1,0)</f>
        <v>1</v>
      </c>
      <c r="J1483">
        <f>+IF(Tabla__192.168.1.8_POSEIDONSQL_APPFVT_01_SQLFacturasRendidas[[#This Row],[usu_codigo]]="","",1)</f>
        <v>1</v>
      </c>
    </row>
    <row r="1484" spans="1:10" x14ac:dyDescent="0.25">
      <c r="A1484">
        <v>1</v>
      </c>
      <c r="B1484">
        <v>3</v>
      </c>
      <c r="C1484" t="s">
        <v>81</v>
      </c>
      <c r="D1484" t="s">
        <v>15</v>
      </c>
      <c r="E1484" t="s">
        <v>36</v>
      </c>
      <c r="F1484">
        <v>90166</v>
      </c>
      <c r="G1484">
        <f>+YEAR(Tabla__192.168.1.8_POSEIDONSQL_APPFVT_01_SQLFacturasRendidas[[#This Row],[f_facturacion]])</f>
        <v>2018</v>
      </c>
      <c r="H148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484">
        <f>+IF(Tabla__192.168.1.8_POSEIDONSQL_APPFVT_01_SQLFacturasRendidas[[#This Row],[epc_nombre]]="RENDIDA",1,0)</f>
        <v>1</v>
      </c>
      <c r="J1484">
        <f>+IF(Tabla__192.168.1.8_POSEIDONSQL_APPFVT_01_SQLFacturasRendidas[[#This Row],[usu_codigo]]="","",1)</f>
        <v>1</v>
      </c>
    </row>
    <row r="1485" spans="1:10" x14ac:dyDescent="0.25">
      <c r="A1485">
        <v>1</v>
      </c>
      <c r="B1485">
        <v>3</v>
      </c>
      <c r="C1485" t="s">
        <v>81</v>
      </c>
      <c r="D1485" t="s">
        <v>15</v>
      </c>
      <c r="E1485" t="s">
        <v>36</v>
      </c>
      <c r="F1485">
        <v>90167</v>
      </c>
      <c r="G1485">
        <f>+YEAR(Tabla__192.168.1.8_POSEIDONSQL_APPFVT_01_SQLFacturasRendidas[[#This Row],[f_facturacion]])</f>
        <v>2018</v>
      </c>
      <c r="H148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485">
        <f>+IF(Tabla__192.168.1.8_POSEIDONSQL_APPFVT_01_SQLFacturasRendidas[[#This Row],[epc_nombre]]="RENDIDA",1,0)</f>
        <v>1</v>
      </c>
      <c r="J1485">
        <f>+IF(Tabla__192.168.1.8_POSEIDONSQL_APPFVT_01_SQLFacturasRendidas[[#This Row],[usu_codigo]]="","",1)</f>
        <v>1</v>
      </c>
    </row>
    <row r="1486" spans="1:10" x14ac:dyDescent="0.25">
      <c r="A1486">
        <v>1</v>
      </c>
      <c r="B1486">
        <v>3</v>
      </c>
      <c r="C1486" t="s">
        <v>81</v>
      </c>
      <c r="D1486" t="s">
        <v>15</v>
      </c>
      <c r="E1486" t="s">
        <v>36</v>
      </c>
      <c r="F1486">
        <v>90168</v>
      </c>
      <c r="G1486">
        <f>+YEAR(Tabla__192.168.1.8_POSEIDONSQL_APPFVT_01_SQLFacturasRendidas[[#This Row],[f_facturacion]])</f>
        <v>2018</v>
      </c>
      <c r="H148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486">
        <f>+IF(Tabla__192.168.1.8_POSEIDONSQL_APPFVT_01_SQLFacturasRendidas[[#This Row],[epc_nombre]]="RENDIDA",1,0)</f>
        <v>1</v>
      </c>
      <c r="J1486">
        <f>+IF(Tabla__192.168.1.8_POSEIDONSQL_APPFVT_01_SQLFacturasRendidas[[#This Row],[usu_codigo]]="","",1)</f>
        <v>1</v>
      </c>
    </row>
    <row r="1487" spans="1:10" x14ac:dyDescent="0.25">
      <c r="A1487">
        <v>1</v>
      </c>
      <c r="B1487">
        <v>3</v>
      </c>
      <c r="C1487" t="s">
        <v>81</v>
      </c>
      <c r="D1487" t="s">
        <v>15</v>
      </c>
      <c r="E1487" t="s">
        <v>36</v>
      </c>
      <c r="F1487">
        <v>90169</v>
      </c>
      <c r="G1487">
        <f>+YEAR(Tabla__192.168.1.8_POSEIDONSQL_APPFVT_01_SQLFacturasRendidas[[#This Row],[f_facturacion]])</f>
        <v>2018</v>
      </c>
      <c r="H148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487">
        <f>+IF(Tabla__192.168.1.8_POSEIDONSQL_APPFVT_01_SQLFacturasRendidas[[#This Row],[epc_nombre]]="RENDIDA",1,0)</f>
        <v>1</v>
      </c>
      <c r="J1487">
        <f>+IF(Tabla__192.168.1.8_POSEIDONSQL_APPFVT_01_SQLFacturasRendidas[[#This Row],[usu_codigo]]="","",1)</f>
        <v>1</v>
      </c>
    </row>
    <row r="1488" spans="1:10" x14ac:dyDescent="0.25">
      <c r="A1488">
        <v>1</v>
      </c>
      <c r="B1488">
        <v>3</v>
      </c>
      <c r="C1488" t="s">
        <v>81</v>
      </c>
      <c r="D1488" t="s">
        <v>15</v>
      </c>
      <c r="E1488" t="s">
        <v>36</v>
      </c>
      <c r="F1488">
        <v>90170</v>
      </c>
      <c r="G1488">
        <f>+YEAR(Tabla__192.168.1.8_POSEIDONSQL_APPFVT_01_SQLFacturasRendidas[[#This Row],[f_facturacion]])</f>
        <v>2018</v>
      </c>
      <c r="H148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488">
        <f>+IF(Tabla__192.168.1.8_POSEIDONSQL_APPFVT_01_SQLFacturasRendidas[[#This Row],[epc_nombre]]="RENDIDA",1,0)</f>
        <v>1</v>
      </c>
      <c r="J1488">
        <f>+IF(Tabla__192.168.1.8_POSEIDONSQL_APPFVT_01_SQLFacturasRendidas[[#This Row],[usu_codigo]]="","",1)</f>
        <v>1</v>
      </c>
    </row>
    <row r="1489" spans="1:10" x14ac:dyDescent="0.25">
      <c r="A1489">
        <v>1</v>
      </c>
      <c r="B1489">
        <v>3</v>
      </c>
      <c r="C1489" t="s">
        <v>81</v>
      </c>
      <c r="D1489" t="s">
        <v>15</v>
      </c>
      <c r="E1489" t="s">
        <v>36</v>
      </c>
      <c r="F1489">
        <v>90171</v>
      </c>
      <c r="G1489">
        <f>+YEAR(Tabla__192.168.1.8_POSEIDONSQL_APPFVT_01_SQLFacturasRendidas[[#This Row],[f_facturacion]])</f>
        <v>2018</v>
      </c>
      <c r="H148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489">
        <f>+IF(Tabla__192.168.1.8_POSEIDONSQL_APPFVT_01_SQLFacturasRendidas[[#This Row],[epc_nombre]]="RENDIDA",1,0)</f>
        <v>1</v>
      </c>
      <c r="J1489">
        <f>+IF(Tabla__192.168.1.8_POSEIDONSQL_APPFVT_01_SQLFacturasRendidas[[#This Row],[usu_codigo]]="","",1)</f>
        <v>1</v>
      </c>
    </row>
    <row r="1490" spans="1:10" x14ac:dyDescent="0.25">
      <c r="A1490">
        <v>1</v>
      </c>
      <c r="B1490">
        <v>3</v>
      </c>
      <c r="C1490" t="s">
        <v>81</v>
      </c>
      <c r="D1490" t="s">
        <v>15</v>
      </c>
      <c r="E1490" t="s">
        <v>36</v>
      </c>
      <c r="F1490">
        <v>90172</v>
      </c>
      <c r="G1490">
        <f>+YEAR(Tabla__192.168.1.8_POSEIDONSQL_APPFVT_01_SQLFacturasRendidas[[#This Row],[f_facturacion]])</f>
        <v>2018</v>
      </c>
      <c r="H149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490">
        <f>+IF(Tabla__192.168.1.8_POSEIDONSQL_APPFVT_01_SQLFacturasRendidas[[#This Row],[epc_nombre]]="RENDIDA",1,0)</f>
        <v>1</v>
      </c>
      <c r="J1490">
        <f>+IF(Tabla__192.168.1.8_POSEIDONSQL_APPFVT_01_SQLFacturasRendidas[[#This Row],[usu_codigo]]="","",1)</f>
        <v>1</v>
      </c>
    </row>
    <row r="1491" spans="1:10" x14ac:dyDescent="0.25">
      <c r="A1491">
        <v>1</v>
      </c>
      <c r="B1491">
        <v>3</v>
      </c>
      <c r="C1491" t="s">
        <v>81</v>
      </c>
      <c r="D1491" t="s">
        <v>15</v>
      </c>
      <c r="E1491" t="s">
        <v>36</v>
      </c>
      <c r="F1491">
        <v>90173</v>
      </c>
      <c r="G1491">
        <f>+YEAR(Tabla__192.168.1.8_POSEIDONSQL_APPFVT_01_SQLFacturasRendidas[[#This Row],[f_facturacion]])</f>
        <v>2018</v>
      </c>
      <c r="H1491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491">
        <f>+IF(Tabla__192.168.1.8_POSEIDONSQL_APPFVT_01_SQLFacturasRendidas[[#This Row],[epc_nombre]]="RENDIDA",1,0)</f>
        <v>1</v>
      </c>
      <c r="J1491">
        <f>+IF(Tabla__192.168.1.8_POSEIDONSQL_APPFVT_01_SQLFacturasRendidas[[#This Row],[usu_codigo]]="","",1)</f>
        <v>1</v>
      </c>
    </row>
    <row r="1492" spans="1:10" x14ac:dyDescent="0.25">
      <c r="A1492">
        <v>1</v>
      </c>
      <c r="B1492">
        <v>3</v>
      </c>
      <c r="C1492" t="s">
        <v>81</v>
      </c>
      <c r="D1492" t="s">
        <v>15</v>
      </c>
      <c r="E1492" t="s">
        <v>36</v>
      </c>
      <c r="F1492">
        <v>90174</v>
      </c>
      <c r="G1492">
        <f>+YEAR(Tabla__192.168.1.8_POSEIDONSQL_APPFVT_01_SQLFacturasRendidas[[#This Row],[f_facturacion]])</f>
        <v>2018</v>
      </c>
      <c r="H1492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492">
        <f>+IF(Tabla__192.168.1.8_POSEIDONSQL_APPFVT_01_SQLFacturasRendidas[[#This Row],[epc_nombre]]="RENDIDA",1,0)</f>
        <v>1</v>
      </c>
      <c r="J1492">
        <f>+IF(Tabla__192.168.1.8_POSEIDONSQL_APPFVT_01_SQLFacturasRendidas[[#This Row],[usu_codigo]]="","",1)</f>
        <v>1</v>
      </c>
    </row>
    <row r="1493" spans="1:10" x14ac:dyDescent="0.25">
      <c r="A1493">
        <v>1</v>
      </c>
      <c r="B1493">
        <v>3</v>
      </c>
      <c r="C1493" t="s">
        <v>81</v>
      </c>
      <c r="D1493" t="s">
        <v>15</v>
      </c>
      <c r="E1493" t="s">
        <v>76</v>
      </c>
      <c r="F1493">
        <v>90271</v>
      </c>
      <c r="G1493">
        <f>+YEAR(Tabla__192.168.1.8_POSEIDONSQL_APPFVT_01_SQLFacturasRendidas[[#This Row],[f_facturacion]])</f>
        <v>2018</v>
      </c>
      <c r="H1493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493">
        <f>+IF(Tabla__192.168.1.8_POSEIDONSQL_APPFVT_01_SQLFacturasRendidas[[#This Row],[epc_nombre]]="RENDIDA",1,0)</f>
        <v>1</v>
      </c>
      <c r="J1493">
        <f>+IF(Tabla__192.168.1.8_POSEIDONSQL_APPFVT_01_SQLFacturasRendidas[[#This Row],[usu_codigo]]="","",1)</f>
        <v>1</v>
      </c>
    </row>
    <row r="1494" spans="1:10" x14ac:dyDescent="0.25">
      <c r="A1494">
        <v>1</v>
      </c>
      <c r="B1494">
        <v>3</v>
      </c>
      <c r="C1494" t="s">
        <v>81</v>
      </c>
      <c r="D1494" t="s">
        <v>15</v>
      </c>
      <c r="E1494" t="s">
        <v>76</v>
      </c>
      <c r="F1494">
        <v>90272</v>
      </c>
      <c r="G1494">
        <f>+YEAR(Tabla__192.168.1.8_POSEIDONSQL_APPFVT_01_SQLFacturasRendidas[[#This Row],[f_facturacion]])</f>
        <v>2018</v>
      </c>
      <c r="H1494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494">
        <f>+IF(Tabla__192.168.1.8_POSEIDONSQL_APPFVT_01_SQLFacturasRendidas[[#This Row],[epc_nombre]]="RENDIDA",1,0)</f>
        <v>1</v>
      </c>
      <c r="J1494">
        <f>+IF(Tabla__192.168.1.8_POSEIDONSQL_APPFVT_01_SQLFacturasRendidas[[#This Row],[usu_codigo]]="","",1)</f>
        <v>1</v>
      </c>
    </row>
    <row r="1495" spans="1:10" x14ac:dyDescent="0.25">
      <c r="A1495">
        <v>1</v>
      </c>
      <c r="B1495">
        <v>3</v>
      </c>
      <c r="C1495" t="s">
        <v>81</v>
      </c>
      <c r="D1495" t="s">
        <v>15</v>
      </c>
      <c r="E1495" t="s">
        <v>76</v>
      </c>
      <c r="F1495">
        <v>90273</v>
      </c>
      <c r="G1495">
        <f>+YEAR(Tabla__192.168.1.8_POSEIDONSQL_APPFVT_01_SQLFacturasRendidas[[#This Row],[f_facturacion]])</f>
        <v>2018</v>
      </c>
      <c r="H1495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495">
        <f>+IF(Tabla__192.168.1.8_POSEIDONSQL_APPFVT_01_SQLFacturasRendidas[[#This Row],[epc_nombre]]="RENDIDA",1,0)</f>
        <v>1</v>
      </c>
      <c r="J1495">
        <f>+IF(Tabla__192.168.1.8_POSEIDONSQL_APPFVT_01_SQLFacturasRendidas[[#This Row],[usu_codigo]]="","",1)</f>
        <v>1</v>
      </c>
    </row>
    <row r="1496" spans="1:10" x14ac:dyDescent="0.25">
      <c r="A1496">
        <v>1</v>
      </c>
      <c r="B1496">
        <v>3</v>
      </c>
      <c r="C1496" t="s">
        <v>81</v>
      </c>
      <c r="D1496" t="s">
        <v>15</v>
      </c>
      <c r="E1496" t="s">
        <v>76</v>
      </c>
      <c r="F1496">
        <v>90274</v>
      </c>
      <c r="G1496">
        <f>+YEAR(Tabla__192.168.1.8_POSEIDONSQL_APPFVT_01_SQLFacturasRendidas[[#This Row],[f_facturacion]])</f>
        <v>2018</v>
      </c>
      <c r="H1496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496">
        <f>+IF(Tabla__192.168.1.8_POSEIDONSQL_APPFVT_01_SQLFacturasRendidas[[#This Row],[epc_nombre]]="RENDIDA",1,0)</f>
        <v>1</v>
      </c>
      <c r="J1496">
        <f>+IF(Tabla__192.168.1.8_POSEIDONSQL_APPFVT_01_SQLFacturasRendidas[[#This Row],[usu_codigo]]="","",1)</f>
        <v>1</v>
      </c>
    </row>
    <row r="1497" spans="1:10" x14ac:dyDescent="0.25">
      <c r="A1497">
        <v>1</v>
      </c>
      <c r="B1497">
        <v>3</v>
      </c>
      <c r="C1497" t="s">
        <v>81</v>
      </c>
      <c r="D1497" t="s">
        <v>15</v>
      </c>
      <c r="E1497" t="s">
        <v>76</v>
      </c>
      <c r="F1497">
        <v>90275</v>
      </c>
      <c r="G1497">
        <f>+YEAR(Tabla__192.168.1.8_POSEIDONSQL_APPFVT_01_SQLFacturasRendidas[[#This Row],[f_facturacion]])</f>
        <v>2018</v>
      </c>
      <c r="H1497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497">
        <f>+IF(Tabla__192.168.1.8_POSEIDONSQL_APPFVT_01_SQLFacturasRendidas[[#This Row],[epc_nombre]]="RENDIDA",1,0)</f>
        <v>1</v>
      </c>
      <c r="J1497">
        <f>+IF(Tabla__192.168.1.8_POSEIDONSQL_APPFVT_01_SQLFacturasRendidas[[#This Row],[usu_codigo]]="","",1)</f>
        <v>1</v>
      </c>
    </row>
    <row r="1498" spans="1:10" x14ac:dyDescent="0.25">
      <c r="A1498">
        <v>1</v>
      </c>
      <c r="B1498">
        <v>3</v>
      </c>
      <c r="C1498" t="s">
        <v>81</v>
      </c>
      <c r="D1498" t="s">
        <v>15</v>
      </c>
      <c r="E1498" t="s">
        <v>76</v>
      </c>
      <c r="F1498">
        <v>90276</v>
      </c>
      <c r="G1498">
        <f>+YEAR(Tabla__192.168.1.8_POSEIDONSQL_APPFVT_01_SQLFacturasRendidas[[#This Row],[f_facturacion]])</f>
        <v>2018</v>
      </c>
      <c r="H1498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498">
        <f>+IF(Tabla__192.168.1.8_POSEIDONSQL_APPFVT_01_SQLFacturasRendidas[[#This Row],[epc_nombre]]="RENDIDA",1,0)</f>
        <v>1</v>
      </c>
      <c r="J1498">
        <f>+IF(Tabla__192.168.1.8_POSEIDONSQL_APPFVT_01_SQLFacturasRendidas[[#This Row],[usu_codigo]]="","",1)</f>
        <v>1</v>
      </c>
    </row>
    <row r="1499" spans="1:10" x14ac:dyDescent="0.25">
      <c r="A1499">
        <v>1</v>
      </c>
      <c r="B1499">
        <v>3</v>
      </c>
      <c r="C1499" t="s">
        <v>81</v>
      </c>
      <c r="D1499" t="s">
        <v>15</v>
      </c>
      <c r="E1499" t="s">
        <v>76</v>
      </c>
      <c r="F1499">
        <v>90277</v>
      </c>
      <c r="G1499">
        <f>+YEAR(Tabla__192.168.1.8_POSEIDONSQL_APPFVT_01_SQLFacturasRendidas[[#This Row],[f_facturacion]])</f>
        <v>2018</v>
      </c>
      <c r="H1499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499">
        <f>+IF(Tabla__192.168.1.8_POSEIDONSQL_APPFVT_01_SQLFacturasRendidas[[#This Row],[epc_nombre]]="RENDIDA",1,0)</f>
        <v>1</v>
      </c>
      <c r="J1499">
        <f>+IF(Tabla__192.168.1.8_POSEIDONSQL_APPFVT_01_SQLFacturasRendidas[[#This Row],[usu_codigo]]="","",1)</f>
        <v>1</v>
      </c>
    </row>
    <row r="1500" spans="1:10" x14ac:dyDescent="0.25">
      <c r="A1500">
        <v>1</v>
      </c>
      <c r="B1500">
        <v>3</v>
      </c>
      <c r="C1500" t="s">
        <v>81</v>
      </c>
      <c r="D1500" t="s">
        <v>15</v>
      </c>
      <c r="E1500" t="s">
        <v>76</v>
      </c>
      <c r="F1500">
        <v>90278</v>
      </c>
      <c r="G1500">
        <f>+YEAR(Tabla__192.168.1.8_POSEIDONSQL_APPFVT_01_SQLFacturasRendidas[[#This Row],[f_facturacion]])</f>
        <v>2018</v>
      </c>
      <c r="H1500" t="str">
        <f>+IF(MONTH(Tabla__192.168.1.8_POSEIDONSQL_APPFVT_01_SQLFacturasRendidas[[#This Row],[f_facturacion]])=1,"ENERO",IF(MONTH(Tabla__192.168.1.8_POSEIDONSQL_APPFVT_01_SQLFacturasRendidas[[#This Row],[f_facturacion]])=2,"FEBRERO",IF(MONTH(Tabla__192.168.1.8_POSEIDONSQL_APPFVT_01_SQLFacturasRendidas[[#This Row],[f_facturacion]])=3,"MARZO",IF(MONTH(Tabla__192.168.1.8_POSEIDONSQL_APPFVT_01_SQLFacturasRendidas[[#This Row],[f_facturacion]])=4,"ABRIL",IF(MONTH(Tabla__192.168.1.8_POSEIDONSQL_APPFVT_01_SQLFacturasRendidas[[#This Row],[f_facturacion]])=5,"MAYO",IF(MONTH(Tabla__192.168.1.8_POSEIDONSQL_APPFVT_01_SQLFacturasRendidas[[#This Row],[f_facturacion]])=6,"JUNIO",IF(MONTH(Tabla__192.168.1.8_POSEIDONSQL_APPFVT_01_SQLFacturasRendidas[[#This Row],[f_facturacion]])=7,"JULIO",IF(MONTH(Tabla__192.168.1.8_POSEIDONSQL_APPFVT_01_SQLFacturasRendidas[[#This Row],[f_facturacion]])=8,"AGOSTO",IF(MONTH(Tabla__192.168.1.8_POSEIDONSQL_APPFVT_01_SQLFacturasRendidas[[#This Row],[f_facturacion]])=9,"SEPTIEMBRE",IF(MONTH(Tabla__192.168.1.8_POSEIDONSQL_APPFVT_01_SQLFacturasRendidas[[#This Row],[f_facturacion]])=10,"OCTUBRE",IF(MONTH(Tabla__192.168.1.8_POSEIDONSQL_APPFVT_01_SQLFacturasRendidas[[#This Row],[f_facturacion]])=11,"NOVIEMBRE",IF(MONTH(Tabla__192.168.1.8_POSEIDONSQL_APPFVT_01_SQLFacturasRendidas[[#This Row],[f_facturacion]])=12,"DICIEMBRE"))))))))))))</f>
        <v>MARZO</v>
      </c>
      <c r="I1500">
        <f>+IF(Tabla__192.168.1.8_POSEIDONSQL_APPFVT_01_SQLFacturasRendidas[[#This Row],[epc_nombre]]="RENDIDA",1,0)</f>
        <v>1</v>
      </c>
      <c r="J1500">
        <f>+IF(Tabla__192.168.1.8_POSEIDONSQL_APPFVT_01_SQLFacturasRendidas[[#This Row],[usu_codigo]]="","",1)</f>
        <v>1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B1:N201"/>
  <sheetViews>
    <sheetView showGridLines="0" showRowColHeaders="0" tabSelected="1" zoomScale="80" zoomScaleNormal="80" workbookViewId="0">
      <pane ySplit="24" topLeftCell="A25" activePane="bottomLeft" state="frozen"/>
      <selection pane="bottomLeft" activeCell="B24" sqref="B24"/>
    </sheetView>
  </sheetViews>
  <sheetFormatPr baseColWidth="10" defaultColWidth="0" defaultRowHeight="15" x14ac:dyDescent="0.25"/>
  <cols>
    <col min="1" max="1" width="1.85546875" customWidth="1"/>
    <col min="2" max="2" width="23.28515625" customWidth="1"/>
    <col min="3" max="3" width="17" customWidth="1"/>
    <col min="4" max="4" width="16.5703125" customWidth="1"/>
    <col min="5" max="5" width="13" bestFit="1" customWidth="1"/>
    <col min="6" max="6" width="12.85546875" bestFit="1" customWidth="1"/>
    <col min="7" max="7" width="22" customWidth="1"/>
    <col min="8" max="8" width="17" customWidth="1"/>
    <col min="9" max="9" width="16.5703125" customWidth="1"/>
    <col min="10" max="10" width="13" bestFit="1" customWidth="1"/>
    <col min="11" max="11" width="1.85546875" customWidth="1"/>
    <col min="12" max="12" width="1.85546875" hidden="1" customWidth="1"/>
    <col min="13" max="14" width="18" hidden="1"/>
  </cols>
  <sheetData>
    <row r="1" spans="2:11" ht="5.45" customHeight="1" x14ac:dyDescent="0.25">
      <c r="K1">
        <v>0</v>
      </c>
    </row>
    <row r="2" spans="2:11" ht="24.75" customHeight="1" x14ac:dyDescent="0.25">
      <c r="B2" s="5" t="s">
        <v>10</v>
      </c>
      <c r="C2" s="5"/>
      <c r="D2" s="5"/>
      <c r="E2" s="5"/>
      <c r="F2" s="5"/>
      <c r="G2" s="5"/>
      <c r="H2" s="5"/>
      <c r="I2" s="5"/>
      <c r="J2" s="5"/>
    </row>
    <row r="3" spans="2:11" ht="15" customHeight="1" x14ac:dyDescent="0.25"/>
    <row r="22" spans="2:10" x14ac:dyDescent="0.25">
      <c r="I22" s="3"/>
      <c r="J22" s="3"/>
    </row>
    <row r="24" spans="2:10" ht="27" customHeight="1" x14ac:dyDescent="0.25">
      <c r="B24" s="1" t="s">
        <v>79</v>
      </c>
      <c r="C24" t="s">
        <v>13</v>
      </c>
      <c r="D24" t="s">
        <v>14</v>
      </c>
      <c r="E24" t="s">
        <v>82</v>
      </c>
    </row>
    <row r="25" spans="2:10" x14ac:dyDescent="0.25">
      <c r="B25" s="3" t="s">
        <v>81</v>
      </c>
      <c r="C25" s="4">
        <v>701</v>
      </c>
      <c r="D25" s="4">
        <v>693</v>
      </c>
      <c r="E25" s="4">
        <v>8</v>
      </c>
    </row>
    <row r="26" spans="2:10" x14ac:dyDescent="0.25">
      <c r="B26" s="3" t="s">
        <v>12</v>
      </c>
      <c r="C26" s="4">
        <v>135</v>
      </c>
      <c r="D26" s="4">
        <v>133</v>
      </c>
      <c r="E26" s="4">
        <v>2</v>
      </c>
    </row>
    <row r="27" spans="2:10" x14ac:dyDescent="0.25">
      <c r="B27" s="3" t="s">
        <v>11</v>
      </c>
      <c r="C27" s="4">
        <v>663</v>
      </c>
      <c r="D27" s="4">
        <v>662</v>
      </c>
      <c r="E27" s="4">
        <v>1</v>
      </c>
    </row>
    <row r="28" spans="2:10" x14ac:dyDescent="0.25">
      <c r="B28" s="3" t="s">
        <v>8</v>
      </c>
      <c r="C28" s="4">
        <v>1499</v>
      </c>
      <c r="D28" s="4">
        <v>1488</v>
      </c>
      <c r="E28" s="4">
        <v>11</v>
      </c>
    </row>
    <row r="30" spans="2:10" x14ac:dyDescent="0.25">
      <c r="J30" s="2"/>
    </row>
    <row r="31" spans="2:10" x14ac:dyDescent="0.25">
      <c r="J31" s="2"/>
    </row>
    <row r="32" spans="2:10" x14ac:dyDescent="0.25">
      <c r="J32" s="2"/>
    </row>
    <row r="33" spans="10:10" x14ac:dyDescent="0.25">
      <c r="J33" s="2"/>
    </row>
    <row r="34" spans="10:10" x14ac:dyDescent="0.25">
      <c r="J34" s="2"/>
    </row>
    <row r="35" spans="10:10" x14ac:dyDescent="0.25">
      <c r="J35" s="2"/>
    </row>
    <row r="36" spans="10:10" x14ac:dyDescent="0.25">
      <c r="J36" s="2"/>
    </row>
    <row r="37" spans="10:10" x14ac:dyDescent="0.25">
      <c r="J37" s="2"/>
    </row>
    <row r="38" spans="10:10" x14ac:dyDescent="0.25">
      <c r="J38" s="2"/>
    </row>
    <row r="39" spans="10:10" x14ac:dyDescent="0.25">
      <c r="J39" s="2"/>
    </row>
    <row r="40" spans="10:10" x14ac:dyDescent="0.25">
      <c r="J40" s="2"/>
    </row>
    <row r="41" spans="10:10" x14ac:dyDescent="0.25">
      <c r="J41" s="2"/>
    </row>
    <row r="42" spans="10:10" x14ac:dyDescent="0.25">
      <c r="J42" s="2"/>
    </row>
    <row r="43" spans="10:10" x14ac:dyDescent="0.25">
      <c r="J43" s="2"/>
    </row>
    <row r="44" spans="10:10" x14ac:dyDescent="0.25">
      <c r="J44" s="2"/>
    </row>
    <row r="45" spans="10:10" x14ac:dyDescent="0.25">
      <c r="J45" s="2"/>
    </row>
    <row r="46" spans="10:10" x14ac:dyDescent="0.25">
      <c r="J46" s="2"/>
    </row>
    <row r="47" spans="10:10" x14ac:dyDescent="0.25">
      <c r="J47" s="2"/>
    </row>
    <row r="48" spans="10:10" x14ac:dyDescent="0.25">
      <c r="J48" s="2"/>
    </row>
    <row r="49" spans="10:10" x14ac:dyDescent="0.25">
      <c r="J49" s="2"/>
    </row>
    <row r="50" spans="10:10" x14ac:dyDescent="0.25">
      <c r="J50" s="2"/>
    </row>
    <row r="51" spans="10:10" x14ac:dyDescent="0.25">
      <c r="J51" s="2"/>
    </row>
    <row r="52" spans="10:10" x14ac:dyDescent="0.25">
      <c r="J52" s="2"/>
    </row>
    <row r="53" spans="10:10" x14ac:dyDescent="0.25">
      <c r="J53" s="2"/>
    </row>
    <row r="54" spans="10:10" x14ac:dyDescent="0.25">
      <c r="J54" s="2"/>
    </row>
    <row r="55" spans="10:10" x14ac:dyDescent="0.25">
      <c r="J55" s="2"/>
    </row>
    <row r="56" spans="10:10" x14ac:dyDescent="0.25">
      <c r="J56" s="2"/>
    </row>
    <row r="57" spans="10:10" x14ac:dyDescent="0.25">
      <c r="J57" s="2"/>
    </row>
    <row r="58" spans="10:10" x14ac:dyDescent="0.25">
      <c r="J58" s="2"/>
    </row>
    <row r="59" spans="10:10" x14ac:dyDescent="0.25">
      <c r="J59" s="2"/>
    </row>
    <row r="60" spans="10:10" x14ac:dyDescent="0.25">
      <c r="J60" s="2"/>
    </row>
    <row r="61" spans="10:10" x14ac:dyDescent="0.25">
      <c r="J61" s="2"/>
    </row>
    <row r="62" spans="10:10" x14ac:dyDescent="0.25">
      <c r="J62" s="2"/>
    </row>
    <row r="63" spans="10:10" x14ac:dyDescent="0.25">
      <c r="J63" s="2"/>
    </row>
    <row r="64" spans="10:10" x14ac:dyDescent="0.25">
      <c r="J64" s="2"/>
    </row>
    <row r="65" spans="10:10" x14ac:dyDescent="0.25">
      <c r="J65" s="2"/>
    </row>
    <row r="66" spans="10:10" x14ac:dyDescent="0.25">
      <c r="J66" s="2"/>
    </row>
    <row r="67" spans="10:10" x14ac:dyDescent="0.25">
      <c r="J67" s="2"/>
    </row>
    <row r="68" spans="10:10" x14ac:dyDescent="0.25">
      <c r="J68" s="2"/>
    </row>
    <row r="69" spans="10:10" x14ac:dyDescent="0.25">
      <c r="J69" s="2"/>
    </row>
    <row r="70" spans="10:10" x14ac:dyDescent="0.25">
      <c r="J70" s="2"/>
    </row>
    <row r="71" spans="10:10" x14ac:dyDescent="0.25">
      <c r="J71" s="2"/>
    </row>
    <row r="72" spans="10:10" x14ac:dyDescent="0.25">
      <c r="J72" s="2"/>
    </row>
    <row r="73" spans="10:10" x14ac:dyDescent="0.25">
      <c r="J73" s="2"/>
    </row>
    <row r="74" spans="10:10" x14ac:dyDescent="0.25">
      <c r="J74" s="2"/>
    </row>
    <row r="75" spans="10:10" x14ac:dyDescent="0.25">
      <c r="J75" s="2"/>
    </row>
    <row r="76" spans="10:10" x14ac:dyDescent="0.25">
      <c r="J76" s="2"/>
    </row>
    <row r="77" spans="10:10" x14ac:dyDescent="0.25">
      <c r="J77" s="2"/>
    </row>
    <row r="78" spans="10:10" x14ac:dyDescent="0.25">
      <c r="J78" s="2"/>
    </row>
    <row r="79" spans="10:10" x14ac:dyDescent="0.25">
      <c r="J79" s="2"/>
    </row>
    <row r="80" spans="10:10" x14ac:dyDescent="0.25">
      <c r="J80" s="2"/>
    </row>
    <row r="81" spans="10:10" x14ac:dyDescent="0.25">
      <c r="J81" s="2"/>
    </row>
    <row r="82" spans="10:10" x14ac:dyDescent="0.25">
      <c r="J82" s="2"/>
    </row>
    <row r="83" spans="10:10" x14ac:dyDescent="0.25">
      <c r="J83" s="2"/>
    </row>
    <row r="84" spans="10:10" x14ac:dyDescent="0.25">
      <c r="J84" s="2"/>
    </row>
    <row r="85" spans="10:10" x14ac:dyDescent="0.25">
      <c r="J85" s="2"/>
    </row>
    <row r="86" spans="10:10" x14ac:dyDescent="0.25">
      <c r="J86" s="2"/>
    </row>
    <row r="87" spans="10:10" x14ac:dyDescent="0.25">
      <c r="J87" s="2"/>
    </row>
    <row r="88" spans="10:10" x14ac:dyDescent="0.25">
      <c r="J88" s="2"/>
    </row>
    <row r="89" spans="10:10" x14ac:dyDescent="0.25">
      <c r="J89" s="2"/>
    </row>
    <row r="90" spans="10:10" x14ac:dyDescent="0.25">
      <c r="J90" s="2"/>
    </row>
    <row r="91" spans="10:10" x14ac:dyDescent="0.25">
      <c r="J91" s="2"/>
    </row>
    <row r="92" spans="10:10" x14ac:dyDescent="0.25">
      <c r="J92" s="2"/>
    </row>
    <row r="93" spans="10:10" x14ac:dyDescent="0.25">
      <c r="J93" s="2"/>
    </row>
    <row r="94" spans="10:10" x14ac:dyDescent="0.25">
      <c r="J94" s="2"/>
    </row>
    <row r="95" spans="10:10" x14ac:dyDescent="0.25">
      <c r="J95" s="2"/>
    </row>
    <row r="96" spans="10:10" x14ac:dyDescent="0.25">
      <c r="J96" s="2"/>
    </row>
    <row r="97" spans="10:10" x14ac:dyDescent="0.25">
      <c r="J97" s="2"/>
    </row>
    <row r="98" spans="10:10" x14ac:dyDescent="0.25">
      <c r="J98" s="2"/>
    </row>
    <row r="99" spans="10:10" x14ac:dyDescent="0.25">
      <c r="J99" s="2"/>
    </row>
    <row r="100" spans="10:10" x14ac:dyDescent="0.25">
      <c r="J100" s="2"/>
    </row>
    <row r="101" spans="10:10" x14ac:dyDescent="0.25">
      <c r="J101" s="2"/>
    </row>
    <row r="102" spans="10:10" x14ac:dyDescent="0.25">
      <c r="J102" s="2"/>
    </row>
    <row r="103" spans="10:10" x14ac:dyDescent="0.25">
      <c r="J103" s="2"/>
    </row>
    <row r="104" spans="10:10" x14ac:dyDescent="0.25">
      <c r="J104" s="2"/>
    </row>
    <row r="105" spans="10:10" x14ac:dyDescent="0.25">
      <c r="J105" s="2"/>
    </row>
    <row r="106" spans="10:10" x14ac:dyDescent="0.25">
      <c r="J106" s="2"/>
    </row>
    <row r="107" spans="10:10" x14ac:dyDescent="0.25">
      <c r="J107" s="2"/>
    </row>
    <row r="108" spans="10:10" x14ac:dyDescent="0.25">
      <c r="J108" s="2"/>
    </row>
    <row r="109" spans="10:10" x14ac:dyDescent="0.25">
      <c r="J109" s="2"/>
    </row>
    <row r="110" spans="10:10" x14ac:dyDescent="0.25">
      <c r="J110" s="2"/>
    </row>
    <row r="111" spans="10:10" x14ac:dyDescent="0.25">
      <c r="J111" s="2"/>
    </row>
    <row r="112" spans="10:10" x14ac:dyDescent="0.25">
      <c r="J112" s="2"/>
    </row>
    <row r="113" spans="10:10" x14ac:dyDescent="0.25">
      <c r="J113" s="2"/>
    </row>
    <row r="114" spans="10:10" x14ac:dyDescent="0.25">
      <c r="J114" s="2"/>
    </row>
    <row r="115" spans="10:10" x14ac:dyDescent="0.25">
      <c r="J115" s="2"/>
    </row>
    <row r="116" spans="10:10" x14ac:dyDescent="0.25">
      <c r="J116" s="2"/>
    </row>
    <row r="117" spans="10:10" x14ac:dyDescent="0.25">
      <c r="J117" s="2"/>
    </row>
    <row r="118" spans="10:10" x14ac:dyDescent="0.25">
      <c r="J118" s="2"/>
    </row>
    <row r="119" spans="10:10" x14ac:dyDescent="0.25">
      <c r="J119" s="2"/>
    </row>
    <row r="120" spans="10:10" x14ac:dyDescent="0.25">
      <c r="J120" s="2"/>
    </row>
    <row r="121" spans="10:10" x14ac:dyDescent="0.25">
      <c r="J121" s="2"/>
    </row>
    <row r="122" spans="10:10" x14ac:dyDescent="0.25">
      <c r="J122" s="2"/>
    </row>
    <row r="123" spans="10:10" x14ac:dyDescent="0.25">
      <c r="J123" s="2"/>
    </row>
    <row r="124" spans="10:10" x14ac:dyDescent="0.25">
      <c r="J124" s="2"/>
    </row>
    <row r="125" spans="10:10" x14ac:dyDescent="0.25">
      <c r="J125" s="2"/>
    </row>
    <row r="126" spans="10:10" x14ac:dyDescent="0.25">
      <c r="J126" s="2"/>
    </row>
    <row r="127" spans="10:10" x14ac:dyDescent="0.25">
      <c r="J127" s="2"/>
    </row>
    <row r="128" spans="10:10" x14ac:dyDescent="0.25">
      <c r="J128" s="2"/>
    </row>
    <row r="129" spans="10:10" x14ac:dyDescent="0.25">
      <c r="J129" s="2"/>
    </row>
    <row r="130" spans="10:10" x14ac:dyDescent="0.25">
      <c r="J130" s="2"/>
    </row>
    <row r="131" spans="10:10" x14ac:dyDescent="0.25">
      <c r="J131" s="2"/>
    </row>
    <row r="132" spans="10:10" x14ac:dyDescent="0.25">
      <c r="J132" s="2"/>
    </row>
    <row r="133" spans="10:10" x14ac:dyDescent="0.25">
      <c r="J133" s="2"/>
    </row>
    <row r="134" spans="10:10" x14ac:dyDescent="0.25">
      <c r="J134" s="2"/>
    </row>
    <row r="135" spans="10:10" x14ac:dyDescent="0.25">
      <c r="J135" s="2"/>
    </row>
    <row r="136" spans="10:10" x14ac:dyDescent="0.25">
      <c r="J136" s="2"/>
    </row>
    <row r="137" spans="10:10" x14ac:dyDescent="0.25">
      <c r="J137" s="2"/>
    </row>
    <row r="138" spans="10:10" x14ac:dyDescent="0.25">
      <c r="J138" s="2"/>
    </row>
    <row r="139" spans="10:10" x14ac:dyDescent="0.25">
      <c r="J139" s="2"/>
    </row>
    <row r="140" spans="10:10" x14ac:dyDescent="0.25">
      <c r="J140" s="2"/>
    </row>
    <row r="141" spans="10:10" x14ac:dyDescent="0.25">
      <c r="J141" s="2"/>
    </row>
    <row r="142" spans="10:10" x14ac:dyDescent="0.25">
      <c r="J142" s="2"/>
    </row>
    <row r="143" spans="10:10" x14ac:dyDescent="0.25">
      <c r="J143" s="2"/>
    </row>
    <row r="144" spans="10:10" x14ac:dyDescent="0.25">
      <c r="J144" s="2"/>
    </row>
    <row r="145" spans="10:10" x14ac:dyDescent="0.25">
      <c r="J145" s="2"/>
    </row>
    <row r="146" spans="10:10" x14ac:dyDescent="0.25">
      <c r="J146" s="2"/>
    </row>
    <row r="147" spans="10:10" x14ac:dyDescent="0.25">
      <c r="J147" s="2"/>
    </row>
    <row r="148" spans="10:10" x14ac:dyDescent="0.25">
      <c r="J148" s="2"/>
    </row>
    <row r="149" spans="10:10" x14ac:dyDescent="0.25">
      <c r="J149" s="2"/>
    </row>
    <row r="150" spans="10:10" x14ac:dyDescent="0.25">
      <c r="J150" s="2"/>
    </row>
    <row r="151" spans="10:10" x14ac:dyDescent="0.25">
      <c r="J151" s="2"/>
    </row>
    <row r="152" spans="10:10" x14ac:dyDescent="0.25">
      <c r="J152" s="2"/>
    </row>
    <row r="153" spans="10:10" x14ac:dyDescent="0.25">
      <c r="J153" s="2"/>
    </row>
    <row r="154" spans="10:10" x14ac:dyDescent="0.25">
      <c r="J154" s="2"/>
    </row>
    <row r="155" spans="10:10" x14ac:dyDescent="0.25">
      <c r="J155" s="2"/>
    </row>
    <row r="156" spans="10:10" x14ac:dyDescent="0.25">
      <c r="J156" s="2"/>
    </row>
    <row r="157" spans="10:10" x14ac:dyDescent="0.25">
      <c r="J157" s="2"/>
    </row>
    <row r="158" spans="10:10" x14ac:dyDescent="0.25">
      <c r="J158" s="2"/>
    </row>
    <row r="159" spans="10:10" x14ac:dyDescent="0.25">
      <c r="J159" s="2"/>
    </row>
    <row r="160" spans="10:10" x14ac:dyDescent="0.25">
      <c r="J160" s="2"/>
    </row>
    <row r="161" spans="10:10" x14ac:dyDescent="0.25">
      <c r="J161" s="2"/>
    </row>
    <row r="162" spans="10:10" x14ac:dyDescent="0.25">
      <c r="J162" s="2"/>
    </row>
    <row r="163" spans="10:10" x14ac:dyDescent="0.25">
      <c r="J163" s="2"/>
    </row>
    <row r="164" spans="10:10" x14ac:dyDescent="0.25">
      <c r="J164" s="2"/>
    </row>
    <row r="165" spans="10:10" x14ac:dyDescent="0.25">
      <c r="J165" s="2"/>
    </row>
    <row r="166" spans="10:10" x14ac:dyDescent="0.25">
      <c r="J166" s="2"/>
    </row>
    <row r="167" spans="10:10" x14ac:dyDescent="0.25">
      <c r="J167" s="2"/>
    </row>
    <row r="168" spans="10:10" x14ac:dyDescent="0.25">
      <c r="J168" s="2"/>
    </row>
    <row r="169" spans="10:10" x14ac:dyDescent="0.25">
      <c r="J169" s="2"/>
    </row>
    <row r="170" spans="10:10" x14ac:dyDescent="0.25">
      <c r="J170" s="2"/>
    </row>
    <row r="171" spans="10:10" x14ac:dyDescent="0.25">
      <c r="J171" s="2"/>
    </row>
    <row r="172" spans="10:10" x14ac:dyDescent="0.25">
      <c r="J172" s="2"/>
    </row>
    <row r="173" spans="10:10" x14ac:dyDescent="0.25">
      <c r="J173" s="2"/>
    </row>
    <row r="174" spans="10:10" x14ac:dyDescent="0.25">
      <c r="J174" s="2"/>
    </row>
    <row r="175" spans="10:10" x14ac:dyDescent="0.25">
      <c r="J175" s="2"/>
    </row>
    <row r="176" spans="10:10" x14ac:dyDescent="0.25">
      <c r="J176" s="2"/>
    </row>
    <row r="177" spans="10:10" x14ac:dyDescent="0.25">
      <c r="J177" s="2"/>
    </row>
    <row r="178" spans="10:10" x14ac:dyDescent="0.25">
      <c r="J178" s="2"/>
    </row>
    <row r="179" spans="10:10" x14ac:dyDescent="0.25">
      <c r="J179" s="2"/>
    </row>
    <row r="180" spans="10:10" x14ac:dyDescent="0.25">
      <c r="J180" s="2"/>
    </row>
    <row r="181" spans="10:10" x14ac:dyDescent="0.25">
      <c r="J181" s="2"/>
    </row>
    <row r="182" spans="10:10" x14ac:dyDescent="0.25">
      <c r="J182" s="2"/>
    </row>
    <row r="183" spans="10:10" x14ac:dyDescent="0.25">
      <c r="J183" s="2"/>
    </row>
    <row r="184" spans="10:10" x14ac:dyDescent="0.25">
      <c r="J184" s="2"/>
    </row>
    <row r="185" spans="10:10" x14ac:dyDescent="0.25">
      <c r="J185" s="2"/>
    </row>
    <row r="186" spans="10:10" x14ac:dyDescent="0.25">
      <c r="J186" s="2"/>
    </row>
    <row r="187" spans="10:10" x14ac:dyDescent="0.25">
      <c r="J187" s="2"/>
    </row>
    <row r="188" spans="10:10" x14ac:dyDescent="0.25">
      <c r="J188" s="2"/>
    </row>
    <row r="189" spans="10:10" x14ac:dyDescent="0.25">
      <c r="J189" s="2"/>
    </row>
    <row r="190" spans="10:10" x14ac:dyDescent="0.25">
      <c r="J190" s="2"/>
    </row>
    <row r="191" spans="10:10" x14ac:dyDescent="0.25">
      <c r="J191" s="2"/>
    </row>
    <row r="192" spans="10:10" x14ac:dyDescent="0.25">
      <c r="J192" s="2"/>
    </row>
    <row r="193" spans="10:10" x14ac:dyDescent="0.25">
      <c r="J193" s="2"/>
    </row>
    <row r="194" spans="10:10" x14ac:dyDescent="0.25">
      <c r="J194" s="2"/>
    </row>
    <row r="195" spans="10:10" x14ac:dyDescent="0.25">
      <c r="J195" s="2"/>
    </row>
    <row r="196" spans="10:10" x14ac:dyDescent="0.25">
      <c r="J196" s="2"/>
    </row>
    <row r="197" spans="10:10" x14ac:dyDescent="0.25">
      <c r="J197" s="2"/>
    </row>
    <row r="198" spans="10:10" x14ac:dyDescent="0.25">
      <c r="J198" s="2"/>
    </row>
    <row r="199" spans="10:10" x14ac:dyDescent="0.25">
      <c r="J199" s="2"/>
    </row>
    <row r="200" spans="10:10" x14ac:dyDescent="0.25">
      <c r="J200" s="2"/>
    </row>
    <row r="201" spans="10:10" x14ac:dyDescent="0.25">
      <c r="J201" s="2"/>
    </row>
  </sheetData>
  <mergeCells count="1">
    <mergeCell ref="B2:J2"/>
  </mergeCell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1025" r:id="rId5" name="cmdDetalles">
          <controlPr autoLine="0" r:id="rId6">
            <anchor moveWithCells="1">
              <from>
                <xdr:col>5</xdr:col>
                <xdr:colOff>228600</xdr:colOff>
                <xdr:row>22</xdr:row>
                <xdr:rowOff>171450</xdr:rowOff>
              </from>
              <to>
                <xdr:col>6</xdr:col>
                <xdr:colOff>685800</xdr:colOff>
                <xdr:row>23</xdr:row>
                <xdr:rowOff>314325</xdr:rowOff>
              </to>
            </anchor>
          </controlPr>
        </control>
      </mc:Choice>
      <mc:Fallback>
        <control shapeId="1025" r:id="rId5" name="cmdDetalles"/>
      </mc:Fallback>
    </mc:AlternateContent>
  </controls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5"/>
  <sheetViews>
    <sheetView zoomScale="80" zoomScaleNormal="80" workbookViewId="0">
      <selection activeCell="D13" sqref="D13"/>
    </sheetView>
  </sheetViews>
  <sheetFormatPr baseColWidth="10" defaultRowHeight="15" x14ac:dyDescent="0.25"/>
  <cols>
    <col min="1" max="1" width="22" bestFit="1" customWidth="1"/>
    <col min="2" max="2" width="17" customWidth="1"/>
    <col min="3" max="3" width="16.5703125" customWidth="1"/>
  </cols>
  <sheetData>
    <row r="1" spans="1:3" x14ac:dyDescent="0.25">
      <c r="A1" s="1" t="s">
        <v>79</v>
      </c>
      <c r="B1" t="s">
        <v>13</v>
      </c>
      <c r="C1" t="s">
        <v>14</v>
      </c>
    </row>
    <row r="2" spans="1:3" x14ac:dyDescent="0.25">
      <c r="A2" s="3" t="s">
        <v>81</v>
      </c>
      <c r="B2" s="4">
        <v>701</v>
      </c>
      <c r="C2" s="4">
        <v>693</v>
      </c>
    </row>
    <row r="3" spans="1:3" x14ac:dyDescent="0.25">
      <c r="A3" s="3" t="s">
        <v>11</v>
      </c>
      <c r="B3" s="4">
        <v>663</v>
      </c>
      <c r="C3" s="4">
        <v>662</v>
      </c>
    </row>
    <row r="4" spans="1:3" x14ac:dyDescent="0.25">
      <c r="A4" s="3" t="s">
        <v>12</v>
      </c>
      <c r="B4" s="4">
        <v>135</v>
      </c>
      <c r="C4" s="4">
        <v>133</v>
      </c>
    </row>
    <row r="5" spans="1:3" x14ac:dyDescent="0.25">
      <c r="A5" s="3" t="s">
        <v>8</v>
      </c>
      <c r="B5" s="4">
        <v>1499</v>
      </c>
      <c r="C5" s="4">
        <v>1488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FACTURAS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Espinoza, Manuel</dc:creator>
  <cp:lastModifiedBy>Espinoza, Manuel </cp:lastModifiedBy>
  <dcterms:created xsi:type="dcterms:W3CDTF">2018-05-25T14:27:12Z</dcterms:created>
  <dcterms:modified xsi:type="dcterms:W3CDTF">2018-06-05T15:48:38Z</dcterms:modified>
</cp:coreProperties>
</file>