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mespinoza\Desktop\"/>
    </mc:Choice>
  </mc:AlternateContent>
  <bookViews>
    <workbookView showSheetTabs="0" xWindow="0" yWindow="0" windowWidth="20490" windowHeight="7905" firstSheet="1" activeTab="1"/>
  </bookViews>
  <sheets>
    <sheet name="SQLDevolucionesConMotivo" sheetId="1" state="veryHidden" r:id="rId1"/>
    <sheet name="INFORME" sheetId="2" r:id="rId2"/>
    <sheet name="POR PRODUCTOS" sheetId="5" state="veryHidden" r:id="rId3"/>
    <sheet name="TD" sheetId="4" state="veryHidden" r:id="rId4"/>
    <sheet name="TD_PROD" sheetId="6" state="veryHidden" r:id="rId5"/>
  </sheets>
  <definedNames>
    <definedName name="_192.168.1.8_POSEIDONSQL_APPFVT_01_SQLDevolucionesConMotivo_1" localSheetId="0" hidden="1">SQLDevolucionesConMotivo!$A$1:$Q$95</definedName>
    <definedName name="_xlnm._FilterDatabase" localSheetId="1" hidden="1">INFORME!$BD$2:$BE$9</definedName>
    <definedName name="_xlnm._FilterDatabase" localSheetId="2" hidden="1">'POR PRODUCTOS'!$E$1:$G$12</definedName>
    <definedName name="_xlnm._FilterDatabase" localSheetId="3" hidden="1">TD!$D$1:$E$51</definedName>
    <definedName name="Filtro_TotalMotivos">TD!$G$1:$G$2</definedName>
    <definedName name="Lista_TD_Motivos">TD!$F$1:$F$4</definedName>
    <definedName name="SegmentaciónDeDatos_AÑO">#N/A</definedName>
    <definedName name="SegmentaciónDeDatos_AÑO1">#N/A</definedName>
    <definedName name="SegmentaciónDeDatos_dev_origen">#N/A</definedName>
    <definedName name="SegmentaciónDeDatos_dev_origen1">#N/A</definedName>
    <definedName name="SegmentaciónDeDatos_MES">#N/A</definedName>
    <definedName name="SegmentaciónDeDatos_MES1">#N/A</definedName>
  </definedNames>
  <calcPr calcId="152511"/>
  <pivotCaches>
    <pivotCache cacheId="9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</calcChain>
</file>

<file path=xl/connections.xml><?xml version="1.0" encoding="utf-8"?>
<connections xmlns="http://schemas.openxmlformats.org/spreadsheetml/2006/main">
  <connection id="1" odcFile="C:\Users\mespinoza\Documents\Mis archivos de origen de datos\192.168.1.8_POSEIDONSQL APPFVT_01 SQLDevolucionesConMotivo.odc" keepAlive="1" name="192.168.1.8_POSEIDONSQL APPFVT_01 SQLDevolucionesConMotivo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SQLDevolucionesConMotivo&quot;" commandType="3"/>
  </connection>
</connections>
</file>

<file path=xl/sharedStrings.xml><?xml version="1.0" encoding="utf-8"?>
<sst xmlns="http://schemas.openxmlformats.org/spreadsheetml/2006/main" count="867" uniqueCount="189">
  <si>
    <t>usu_codigo</t>
  </si>
  <si>
    <t>inf_tipoInforme</t>
  </si>
  <si>
    <t>car_nombre</t>
  </si>
  <si>
    <t>con_ocnumero</t>
  </si>
  <si>
    <t>pic_codigo</t>
  </si>
  <si>
    <t>pro_codigointerno</t>
  </si>
  <si>
    <t>pro_nombre</t>
  </si>
  <si>
    <t>cant_pedida</t>
  </si>
  <si>
    <t>tdv_nombre</t>
  </si>
  <si>
    <t>cant_entrega</t>
  </si>
  <si>
    <t>dev_fecha</t>
  </si>
  <si>
    <t>dev_cantidad</t>
  </si>
  <si>
    <t>are_nombre</t>
  </si>
  <si>
    <t>glo_nombre</t>
  </si>
  <si>
    <t>dev_nfactura</t>
  </si>
  <si>
    <t>dev_nguia</t>
  </si>
  <si>
    <t>AÑO</t>
  </si>
  <si>
    <t>MES</t>
  </si>
  <si>
    <t>CLIENTE</t>
  </si>
  <si>
    <t>TOTAL DEVOLUCION</t>
  </si>
  <si>
    <t>MOTIVOS</t>
  </si>
  <si>
    <t>dev_origen</t>
  </si>
  <si>
    <t>CLIENTES</t>
  </si>
  <si>
    <t>INFORME DEVOLUCION GENERAL</t>
  </si>
  <si>
    <t>CODIGO</t>
  </si>
  <si>
    <t>DESCRIPCION</t>
  </si>
  <si>
    <t>CANTIDAD</t>
  </si>
  <si>
    <t>INFORME DEVOLUCION PRODUCTOS</t>
  </si>
  <si>
    <t>EASY S.A.</t>
  </si>
  <si>
    <t>NOTA DE CREDITO / CLIENTE ANULA</t>
  </si>
  <si>
    <t>-</t>
  </si>
  <si>
    <t>PRODUCTO</t>
  </si>
  <si>
    <t>EMBALAJE EN MAL ESTADO/PRODUCTO DAÑADO.</t>
  </si>
  <si>
    <t xml:space="preserve">CLIENTE ANULA </t>
  </si>
  <si>
    <t>PICKING</t>
  </si>
  <si>
    <t>161007</t>
  </si>
  <si>
    <t>Escritorio Malta 2 cajones 1171</t>
  </si>
  <si>
    <t>11-04-2018</t>
  </si>
  <si>
    <t>181684</t>
  </si>
  <si>
    <t>Cocina Milan (New Arezzo)</t>
  </si>
  <si>
    <t xml:space="preserve">CARGA MAL ESTIBADA </t>
  </si>
  <si>
    <t>06-04-2018</t>
  </si>
  <si>
    <t>10-04-2018</t>
  </si>
  <si>
    <t>181648</t>
  </si>
  <si>
    <t>Kit Lara</t>
  </si>
  <si>
    <t>03-04-2018</t>
  </si>
  <si>
    <t>PRESENTACIÓN FUERA DE HORARIO PROGRAMADO.</t>
  </si>
  <si>
    <t>161004</t>
  </si>
  <si>
    <t>Escritorio Nazca artico 1215</t>
  </si>
  <si>
    <t>12-04-2018</t>
  </si>
  <si>
    <t>LIDER</t>
  </si>
  <si>
    <t>170761</t>
  </si>
  <si>
    <t>Rack Royal ipe tx/ rovere</t>
  </si>
  <si>
    <t>27-04-2018</t>
  </si>
  <si>
    <t>181756</t>
  </si>
  <si>
    <t>Rack Line (New Zero)</t>
  </si>
  <si>
    <t>181754</t>
  </si>
  <si>
    <t>Comoda 4 Cajones + Puertas Dubai</t>
  </si>
  <si>
    <t>181778</t>
  </si>
  <si>
    <t>Cabinet Isis Microondas</t>
  </si>
  <si>
    <t>09-05-2018</t>
  </si>
  <si>
    <t>165501</t>
  </si>
  <si>
    <t>Mueble Organizador Cerro Largo Blanco</t>
  </si>
  <si>
    <t>PRODUCTO NO SOLICITADO / SOBRANTE</t>
  </si>
  <si>
    <t>23-05-2018</t>
  </si>
  <si>
    <t>181566</t>
  </si>
  <si>
    <t>Depensa 1 Puerta alta</t>
  </si>
  <si>
    <t>181569</t>
  </si>
  <si>
    <t>Kit Cocina Simona Teka / Brown</t>
  </si>
  <si>
    <t>RIPLEY</t>
  </si>
  <si>
    <t>181545A</t>
  </si>
  <si>
    <t>Respaldo Celaya</t>
  </si>
  <si>
    <t>130643</t>
  </si>
  <si>
    <t>Closet Domani 6p 4c rovere tx</t>
  </si>
  <si>
    <t>161012</t>
  </si>
  <si>
    <t>FACTURA NO CARGADA EN B2B</t>
  </si>
  <si>
    <t>181603</t>
  </si>
  <si>
    <t>Rack Pegasus</t>
  </si>
  <si>
    <t>120012</t>
  </si>
  <si>
    <t>Estante coliseo</t>
  </si>
  <si>
    <t>160116</t>
  </si>
  <si>
    <t>Mesa de Centro Classic rustico malbec</t>
  </si>
  <si>
    <t>NO SE DESPACHA PRODUCTO/ SOLO DOCUMENTACIÓN</t>
  </si>
  <si>
    <t>110301</t>
  </si>
  <si>
    <t>Bar de Canto Puerto Montt Tabaco</t>
  </si>
  <si>
    <t>17-04-2018</t>
  </si>
  <si>
    <t>165688</t>
  </si>
  <si>
    <t>Cocina Aline 0308 Nogal-bco</t>
  </si>
  <si>
    <t>25-04-2018</t>
  </si>
  <si>
    <t>16-04-2018</t>
  </si>
  <si>
    <t>kit dormitorio + modulo 1233 + 3017 aberto</t>
  </si>
  <si>
    <t>170211</t>
  </si>
  <si>
    <t>Rack prada</t>
  </si>
  <si>
    <t>190208</t>
  </si>
  <si>
    <t>Soporte LCD 43-46</t>
  </si>
  <si>
    <t>181575</t>
  </si>
  <si>
    <t>SOPORTE TV 23-55 LPA 51-441</t>
  </si>
  <si>
    <t>PRODUCTO YA DESPACHADO</t>
  </si>
  <si>
    <t>181670</t>
  </si>
  <si>
    <t>SET RESPALDO 1.5+1 VELADOR CLAUDIA</t>
  </si>
  <si>
    <t>24-04-2018</t>
  </si>
  <si>
    <t>170120</t>
  </si>
  <si>
    <t>New Santiago</t>
  </si>
  <si>
    <t>30-04-2018</t>
  </si>
  <si>
    <t>181621</t>
  </si>
  <si>
    <t>Cajonera kuta 15</t>
  </si>
  <si>
    <t>07-05-2018</t>
  </si>
  <si>
    <t>130291</t>
  </si>
  <si>
    <t>Cocina Michelle</t>
  </si>
  <si>
    <t>14-05-2018</t>
  </si>
  <si>
    <t>15-05-2018</t>
  </si>
  <si>
    <t>PARIS</t>
  </si>
  <si>
    <t>120023</t>
  </si>
  <si>
    <t>Estante Aruba</t>
  </si>
  <si>
    <t>PRODUCTO MAL ETIQUETADO / ROTULACION ILEGIBLE</t>
  </si>
  <si>
    <t>181693</t>
  </si>
  <si>
    <t xml:space="preserve">Combo Mauillin 1,2,3,4,  </t>
  </si>
  <si>
    <t>181589</t>
  </si>
  <si>
    <t>Arrimo Monet</t>
  </si>
  <si>
    <t>181544</t>
  </si>
  <si>
    <t xml:space="preserve">Set respaldo con cajón new bento </t>
  </si>
  <si>
    <t>181598</t>
  </si>
  <si>
    <t>Kit Cocina Priss</t>
  </si>
  <si>
    <t>02-05-2018</t>
  </si>
  <si>
    <t>165633</t>
  </si>
  <si>
    <t>Cocina Iza</t>
  </si>
  <si>
    <t>24-05-2018</t>
  </si>
  <si>
    <t>FALABELLA RETAIL S.A.</t>
  </si>
  <si>
    <t>181606</t>
  </si>
  <si>
    <t>Closet Alemania 6 puertas 2 cajones (New Euro</t>
  </si>
  <si>
    <t>181574</t>
  </si>
  <si>
    <t>COCINA ISADORA TEKA BROWN</t>
  </si>
  <si>
    <t>165677</t>
  </si>
  <si>
    <t>Cocina 6 puertas kit 2306 bco negro</t>
  </si>
  <si>
    <t>181553</t>
  </si>
  <si>
    <t>Rack Arizona 1.71</t>
  </si>
  <si>
    <t>18-05-2018</t>
  </si>
  <si>
    <t>181661</t>
  </si>
  <si>
    <t>COMEDOR YORK 1+6</t>
  </si>
  <si>
    <t>181665</t>
  </si>
  <si>
    <t>SET RESPALDO+2VELADOR ALICIA(New Bento)</t>
  </si>
  <si>
    <t>28-05-2018</t>
  </si>
  <si>
    <t>05-04-2018</t>
  </si>
  <si>
    <t>181519</t>
  </si>
  <si>
    <t>Poltrona Laura</t>
  </si>
  <si>
    <t>130274</t>
  </si>
  <si>
    <t>Bar atlanta Imbuia</t>
  </si>
  <si>
    <t>181624</t>
  </si>
  <si>
    <t>Rack tv palu</t>
  </si>
  <si>
    <t>CORONA</t>
  </si>
  <si>
    <t>SODIMAC S.A</t>
  </si>
  <si>
    <t>170778</t>
  </si>
  <si>
    <t>Rack Arterra rov tx - rov tx 52080</t>
  </si>
  <si>
    <t>181529</t>
  </si>
  <si>
    <t>Lavaplatos 80 Derecho C/Reb Blanco Notavel</t>
  </si>
  <si>
    <t>08-05-2018</t>
  </si>
  <si>
    <t>HOMY</t>
  </si>
  <si>
    <t>181612</t>
  </si>
  <si>
    <t>Poltrona Lennon</t>
  </si>
  <si>
    <t>04-04-2018</t>
  </si>
  <si>
    <t>181660</t>
  </si>
  <si>
    <t>COMEDOR TOLEDO 1+6</t>
  </si>
  <si>
    <t>10-05-2018</t>
  </si>
  <si>
    <t>170785</t>
  </si>
  <si>
    <t>Rack america + panel rustico malbec</t>
  </si>
  <si>
    <t>17-05-2018</t>
  </si>
  <si>
    <t>181615</t>
  </si>
  <si>
    <t xml:space="preserve">Berger Venecia </t>
  </si>
  <si>
    <t>22-05-2018</t>
  </si>
  <si>
    <t>HITES S.A.</t>
  </si>
  <si>
    <t>181600</t>
  </si>
  <si>
    <t>Estante Cristal</t>
  </si>
  <si>
    <t>181607</t>
  </si>
  <si>
    <t>Closet TV Estella</t>
  </si>
  <si>
    <t>181595</t>
  </si>
  <si>
    <t>Home Deneb</t>
  </si>
  <si>
    <t>165525</t>
  </si>
  <si>
    <t>Armario Aereo Mayor Con Vidrio Ref:3247 Bco</t>
  </si>
  <si>
    <t>03-05-2018</t>
  </si>
  <si>
    <t>181552</t>
  </si>
  <si>
    <t xml:space="preserve">Home Lara 1.35 </t>
  </si>
  <si>
    <t>120011</t>
  </si>
  <si>
    <t xml:space="preserve">Home Roma </t>
  </si>
  <si>
    <t>29-05-2018</t>
  </si>
  <si>
    <t>MAYO</t>
  </si>
  <si>
    <t>Total MAYO</t>
  </si>
  <si>
    <t>Total general</t>
  </si>
  <si>
    <t>ABRIL</t>
  </si>
  <si>
    <t>Total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</si>
</sst>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Aharoni"/>
      <charset val="177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  <xf numFmtId="0" fontId="0" fillId="0" borderId="0" xfId="0" applyNumberFormat="1" applyFill="1"/>
    <xf numFmtId="0" fontId="0" fillId="0" borderId="0" xfId="0" applyNumberFormat="1" applyFill="1" applyAlignment="1"/>
    <xf numFmtId="0" fontId="1" fillId="0" borderId="0" xfId="0" applyFont="1" applyFill="1" applyAlignment="1">
      <alignment vertical="center"/>
    </xf>
    <xf numFmtId="3" fontId="0" fillId="0" borderId="0" xfId="0" applyNumberFormat="1"/>
    <xf numFmtId="0" fontId="1" fillId="2" borderId="0" xfId="0" applyFont="1" applyFill="1" applyAlignment="1">
      <alignment horizontal="left" vertical="center" indent="5"/>
    </xf>
  </cellXfs>
  <cellStyles count="1">
    <cellStyle name="Normal" xfId="0" builtinId="0"/>
  </cellStyles>
  <dxfs count="6"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  <border>
        <left/>
        <right/>
        <top/>
        <bottom/>
        <vertical/>
        <horizontal/>
      </border>
    </dxf>
    <dxf>
      <font>
        <color theme="1"/>
      </font>
      <border>
        <left/>
        <right/>
        <top/>
        <bottom/>
        <vertical/>
        <horizontal/>
      </border>
    </dxf>
    <dxf>
      <font>
        <b/>
        <i val="0"/>
        <color rgb="FF002060"/>
      </font>
      <fill>
        <gradientFill degree="27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rgb="FF002060"/>
      </font>
      <fill>
        <gradientFill degree="27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34998626667073579"/>
        </patternFill>
      </fill>
    </dxf>
  </dxfs>
  <tableStyles count="4" defaultTableStyle="TableStyleMedium2" defaultPivotStyle="PivotStyleLight16">
    <tableStyle name="Estilo de segmentación de datos 1" pivot="0" table="0" count="4">
      <tableStyleElement type="headerRow" dxfId="5"/>
    </tableStyle>
    <tableStyle name="Estilo de tabla 1" pivot="0" count="1">
      <tableStyleElement type="headerRow" dxfId="4"/>
    </tableStyle>
    <tableStyle name="Estilo de tabla dinámica 1" table="0" count="1">
      <tableStyleElement type="headerRow" dxfId="3"/>
    </tableStyle>
    <tableStyle name="SlicerStyleDark3 2 2" pivot="0" table="0" count="10">
      <tableStyleElement type="wholeTable" dxfId="2"/>
      <tableStyleElement type="headerRow" dxfId="1"/>
    </tableStyle>
  </tableStyles>
  <colors>
    <mruColors>
      <color rgb="FF424040"/>
      <color rgb="FF0039AC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theme="4" tint="-0.2499465926084170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theme="4" tint="-0.24994659260841701"/>
            </patternFill>
          </fill>
          <border>
            <left/>
            <right/>
            <top/>
            <bottom style="thin">
              <color rgb="FF002060"/>
            </bottom>
            <vertical/>
            <horizontal/>
          </border>
        </dxf>
        <dxf>
          <font>
            <color theme="6" tint="-0.249977111117893"/>
          </font>
          <fill>
            <patternFill patternType="none">
              <fgColor indexed="64"/>
              <bgColor auto="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b/>
            <i val="0"/>
            <color rgb="FF002060"/>
          </font>
          <fill>
            <gradientFill degree="270">
              <stop position="0">
                <color theme="0"/>
              </stop>
              <stop position="1">
                <color theme="2" tint="-9.8025452436902985E-2"/>
              </stop>
            </gradientFill>
          </fill>
          <border>
            <left/>
            <right/>
            <top/>
            <bottom style="thin">
              <color theme="2" tint="-9.9948118533890809E-2"/>
            </bottom>
            <vertical style="thin">
              <color theme="2" tint="-9.9948118533890809E-2"/>
            </vertical>
            <horizontal/>
          </border>
        </dxf>
        <dxf>
          <font>
            <b val="0"/>
            <i val="0"/>
            <color theme="1"/>
          </font>
          <fill>
            <patternFill patternType="none">
              <fgColor indexed="64"/>
              <bgColor auto="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b val="0"/>
            <i val="0"/>
            <color auto="1"/>
          </font>
          <fill>
            <patternFill patternType="none">
              <fgColor auto="1"/>
              <bgColor auto="1"/>
            </patternFill>
          </fill>
          <border>
            <left/>
            <right/>
            <top/>
            <bottom style="thin">
              <color theme="2" tint="-9.9948118533890809E-2"/>
            </bottom>
            <vertical/>
            <horizontal/>
          </border>
        </dxf>
        <dxf>
          <font>
            <b/>
            <i val="0"/>
            <color theme="0"/>
          </font>
          <fill>
            <patternFill>
              <bgColor theme="1" tint="0.499984740745262"/>
            </patternFill>
          </fill>
          <border>
            <left/>
            <right/>
            <top/>
            <bottom/>
          </border>
        </dxf>
        <dxf>
          <font>
            <b/>
            <i val="0"/>
            <color theme="0"/>
          </font>
          <fill>
            <patternFill>
              <bgColor theme="2" tint="-0.24994659260841701"/>
            </patternFill>
          </fill>
          <border>
            <left/>
            <right/>
            <top/>
            <bottom/>
          </border>
        </dxf>
        <dxf>
          <font>
            <b/>
            <i val="0"/>
            <color theme="0"/>
          </font>
          <fill>
            <patternFill>
              <bgColor theme="3" tint="0.39994506668294322"/>
            </patternFill>
          </fill>
          <border>
            <left/>
            <right/>
            <top/>
            <bottom/>
          </border>
        </dxf>
      </x14:dxfs>
    </ext>
    <ext xmlns:x14="http://schemas.microsoft.com/office/spreadsheetml/2009/9/main" uri="{EB79DEF2-80B8-43e5-95BD-54CBDDF9020C}">
      <x14:slicerStyles defaultSlicerStyle="SlicerStyleDark3 2 2">
        <x14:slicerStyle name="Estilo de segmentación de datos 1">
          <x14:slicerStyleElements>
            <x14:slicerStyleElement type="selectedItemWithData" dxfId="10"/>
            <x14:slicerStyleElement type="hoveredUnselectedItemWithData" dxfId="9"/>
            <x14:slicerStyleElement type="hoveredSelectedItemWithData" dxfId="8"/>
          </x14:slicerStyleElements>
        </x14:slicerStyle>
        <x14:slicerStyle name="SlicerStyleDark3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 DEVOLUCION.xlsm]TD!TD_TOTALCLIENTES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% TOTAL POR CLIENTE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TD!$B$1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TD!$A$2:$A$10</c:f>
              <c:strCache>
                <c:ptCount val="9"/>
                <c:pt idx="0">
                  <c:v>CORONA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HITES S.A.</c:v>
                </c:pt>
                <c:pt idx="4">
                  <c:v>HOMY</c:v>
                </c:pt>
                <c:pt idx="5">
                  <c:v>LIDER</c:v>
                </c:pt>
                <c:pt idx="6">
                  <c:v>PARIS</c:v>
                </c:pt>
                <c:pt idx="7">
                  <c:v>SODIMAC S.A</c:v>
                </c:pt>
                <c:pt idx="8">
                  <c:v>RIPLEY</c:v>
                </c:pt>
              </c:strCache>
            </c:strRef>
          </c:cat>
          <c:val>
            <c:numRef>
              <c:f>TD!$B$2:$B$10</c:f>
              <c:numCache>
                <c:formatCode>General</c:formatCode>
                <c:ptCount val="9"/>
                <c:pt idx="0">
                  <c:v>1</c:v>
                </c:pt>
                <c:pt idx="1">
                  <c:v>36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2</c:v>
                </c:pt>
                <c:pt idx="8">
                  <c:v>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[INFORME DEVOLUCION.xlsm]TD!TD_TOTALCLIENTES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L"/>
              <a:t>CANTIDAD TOTAL POR CLIENTE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TD!$A$2:$A$10</c:f>
              <c:strCache>
                <c:ptCount val="9"/>
                <c:pt idx="0">
                  <c:v>CORONA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HITES S.A.</c:v>
                </c:pt>
                <c:pt idx="4">
                  <c:v>HOMY</c:v>
                </c:pt>
                <c:pt idx="5">
                  <c:v>LIDER</c:v>
                </c:pt>
                <c:pt idx="6">
                  <c:v>PARIS</c:v>
                </c:pt>
                <c:pt idx="7">
                  <c:v>SODIMAC S.A</c:v>
                </c:pt>
                <c:pt idx="8">
                  <c:v>RIPLEY</c:v>
                </c:pt>
              </c:strCache>
            </c:strRef>
          </c:cat>
          <c:val>
            <c:numRef>
              <c:f>TD!$B$2:$B$10</c:f>
              <c:numCache>
                <c:formatCode>General</c:formatCode>
                <c:ptCount val="9"/>
                <c:pt idx="0">
                  <c:v>1</c:v>
                </c:pt>
                <c:pt idx="1">
                  <c:v>36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2</c:v>
                </c:pt>
                <c:pt idx="8">
                  <c:v>19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99911304"/>
        <c:axId val="399695696"/>
        <c:axId val="0"/>
      </c:bar3DChart>
      <c:catAx>
        <c:axId val="39991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9695696"/>
        <c:crosses val="autoZero"/>
        <c:auto val="1"/>
        <c:lblAlgn val="ctr"/>
        <c:lblOffset val="100"/>
        <c:noMultiLvlLbl val="0"/>
      </c:catAx>
      <c:valAx>
        <c:axId val="39969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991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/>
              <a:t>MOTIVOS SUPERIOR AL PROMEDIO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TD!$E$1</c:f>
              <c:strCache>
                <c:ptCount val="1"/>
                <c:pt idx="0">
                  <c:v>TOTAL DEVOLUCION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TD!$D$2:$D$51</c:f>
              <c:strCache>
                <c:ptCount val="3"/>
                <c:pt idx="0">
                  <c:v>NOTA DE CREDITO / CLIENTE ANULA</c:v>
                </c:pt>
                <c:pt idx="1">
                  <c:v>CLIENTE ANULA </c:v>
                </c:pt>
                <c:pt idx="2">
                  <c:v>EMBALAJE EN MAL ESTADO/PRODUCTO DAÑADO.</c:v>
                </c:pt>
              </c:strCache>
            </c:strRef>
          </c:cat>
          <c:val>
            <c:numRef>
              <c:f>TD!$E$2:$E$51</c:f>
              <c:numCache>
                <c:formatCode>General</c:formatCode>
                <c:ptCount val="3"/>
                <c:pt idx="0">
                  <c:v>28</c:v>
                </c:pt>
                <c:pt idx="1">
                  <c:v>21</c:v>
                </c:pt>
                <c:pt idx="2">
                  <c:v>17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01026096"/>
        <c:axId val="399910768"/>
      </c:barChart>
      <c:catAx>
        <c:axId val="401026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9910768"/>
        <c:crosses val="autoZero"/>
        <c:auto val="1"/>
        <c:lblAlgn val="ctr"/>
        <c:lblOffset val="100"/>
        <c:noMultiLvlLbl val="0"/>
      </c:catAx>
      <c:valAx>
        <c:axId val="39991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02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 b="1">
          <a:solidFill>
            <a:schemeClr val="bg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[INFORME DEVOLUCION.xlsm]TD!TD_CantidadMensual</c:name>
    <c:fmtId val="4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CANTIDADES MENSUAL POR CLIENTES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5"/>
          <c:spPr>
            <a:solidFill>
              <a:schemeClr val="accent3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TD!$I$1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5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TD!$G$2:$H$18</c:f>
              <c:multiLvlStrCache>
                <c:ptCount val="17"/>
                <c:lvl>
                  <c:pt idx="0">
                    <c:v>CORONA</c:v>
                  </c:pt>
                  <c:pt idx="1">
                    <c:v>EASY S.A.</c:v>
                  </c:pt>
                  <c:pt idx="2">
                    <c:v>FALABELLA RETAIL S.A.</c:v>
                  </c:pt>
                  <c:pt idx="3">
                    <c:v>HITES S.A.</c:v>
                  </c:pt>
                  <c:pt idx="4">
                    <c:v>HOMY</c:v>
                  </c:pt>
                  <c:pt idx="5">
                    <c:v>LIDER</c:v>
                  </c:pt>
                  <c:pt idx="6">
                    <c:v>PARIS</c:v>
                  </c:pt>
                  <c:pt idx="7">
                    <c:v>SODIMAC S.A</c:v>
                  </c:pt>
                  <c:pt idx="8">
                    <c:v>RIPLEY</c:v>
                  </c:pt>
                  <c:pt idx="9">
                    <c:v>EASY S.A.</c:v>
                  </c:pt>
                  <c:pt idx="10">
                    <c:v>FALABELLA RETAIL S.A.</c:v>
                  </c:pt>
                  <c:pt idx="11">
                    <c:v>HITES S.A.</c:v>
                  </c:pt>
                  <c:pt idx="12">
                    <c:v>HOMY</c:v>
                  </c:pt>
                  <c:pt idx="13">
                    <c:v>LIDER</c:v>
                  </c:pt>
                  <c:pt idx="14">
                    <c:v>PARIS</c:v>
                  </c:pt>
                  <c:pt idx="15">
                    <c:v>SODIMAC S.A</c:v>
                  </c:pt>
                  <c:pt idx="16">
                    <c:v>RIPLEY</c:v>
                  </c:pt>
                </c:lvl>
                <c:lvl>
                  <c:pt idx="0">
                    <c:v>ABRIL</c:v>
                  </c:pt>
                  <c:pt idx="9">
                    <c:v>MAYO</c:v>
                  </c:pt>
                </c:lvl>
              </c:multiLvlStrCache>
            </c:multiLvlStrRef>
          </c:cat>
          <c:val>
            <c:numRef>
              <c:f>TD!$I$2:$I$18</c:f>
              <c:numCache>
                <c:formatCode>General</c:formatCode>
                <c:ptCount val="17"/>
                <c:pt idx="0">
                  <c:v>1</c:v>
                </c:pt>
                <c:pt idx="1">
                  <c:v>33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6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401382856"/>
        <c:axId val="401383248"/>
      </c:lineChart>
      <c:catAx>
        <c:axId val="40138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83248"/>
        <c:crosses val="autoZero"/>
        <c:auto val="1"/>
        <c:lblAlgn val="ctr"/>
        <c:lblOffset val="100"/>
        <c:noMultiLvlLbl val="0"/>
      </c:catAx>
      <c:valAx>
        <c:axId val="401383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138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 DEVOLUCION.xlsm]TD_PROD!TD_CANTIDAD_MENSUAL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PRODUCTOS</a:t>
            </a:r>
            <a:r>
              <a:rPr lang="es-CL" baseline="0"/>
              <a:t> DEVUELTOS  MENSUAL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TD_PROD!$D$1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TD_PROD!$A$2:$C$18</c:f>
              <c:multiLvlStrCache>
                <c:ptCount val="14"/>
                <c:lvl>
                  <c:pt idx="0">
                    <c:v>Cocina Milan (New Arezzo)</c:v>
                  </c:pt>
                  <c:pt idx="1">
                    <c:v>SOPORTE TV 23-55 LPA 51-441</c:v>
                  </c:pt>
                  <c:pt idx="2">
                    <c:v>Soporte LCD 43-46</c:v>
                  </c:pt>
                  <c:pt idx="3">
                    <c:v>Rack Arterra rov tx - rov tx 52080</c:v>
                  </c:pt>
                  <c:pt idx="4">
                    <c:v>Rack Royal ipe tx/ rovere</c:v>
                  </c:pt>
                  <c:pt idx="5">
                    <c:v>Comoda 4 Cajones + Puertas Dubai</c:v>
                  </c:pt>
                  <c:pt idx="6">
                    <c:v>Rack Line (New Zero)</c:v>
                  </c:pt>
                  <c:pt idx="7">
                    <c:v>Kit Cocina Simona Teka / Brown</c:v>
                  </c:pt>
                  <c:pt idx="8">
                    <c:v>Poltrona Lennon</c:v>
                  </c:pt>
                  <c:pt idx="9">
                    <c:v>Depensa 1 Puerta alta</c:v>
                  </c:pt>
                  <c:pt idx="10">
                    <c:v>Cocina Michelle</c:v>
                  </c:pt>
                  <c:pt idx="11">
                    <c:v>Lavaplatos 80 Derecho C/Reb Blanco Notavel</c:v>
                  </c:pt>
                  <c:pt idx="12">
                    <c:v>Cabinet Isis Microondas</c:v>
                  </c:pt>
                  <c:pt idx="13">
                    <c:v>Kit Cocina Simona Teka / Brown</c:v>
                  </c:pt>
                </c:lvl>
                <c:lvl>
                  <c:pt idx="0">
                    <c:v>181684</c:v>
                  </c:pt>
                  <c:pt idx="1">
                    <c:v>181575</c:v>
                  </c:pt>
                  <c:pt idx="2">
                    <c:v>190208</c:v>
                  </c:pt>
                  <c:pt idx="3">
                    <c:v>170778</c:v>
                  </c:pt>
                  <c:pt idx="4">
                    <c:v>170761</c:v>
                  </c:pt>
                  <c:pt idx="5">
                    <c:v>181754</c:v>
                  </c:pt>
                  <c:pt idx="6">
                    <c:v>181756</c:v>
                  </c:pt>
                  <c:pt idx="7">
                    <c:v>181569</c:v>
                  </c:pt>
                  <c:pt idx="8">
                    <c:v>181612</c:v>
                  </c:pt>
                  <c:pt idx="9">
                    <c:v>181566</c:v>
                  </c:pt>
                  <c:pt idx="10">
                    <c:v>130291</c:v>
                  </c:pt>
                  <c:pt idx="11">
                    <c:v>181529</c:v>
                  </c:pt>
                  <c:pt idx="12">
                    <c:v>181778</c:v>
                  </c:pt>
                  <c:pt idx="13">
                    <c:v>181569</c:v>
                  </c:pt>
                </c:lvl>
                <c:lvl>
                  <c:pt idx="0">
                    <c:v>ABRIL</c:v>
                  </c:pt>
                  <c:pt idx="9">
                    <c:v>MAYO</c:v>
                  </c:pt>
                </c:lvl>
              </c:multiLvlStrCache>
            </c:multiLvlStrRef>
          </c:cat>
          <c:val>
            <c:numRef>
              <c:f>TD_PROD!$D$2:$D$18</c:f>
              <c:numCache>
                <c:formatCode>#,##0</c:formatCode>
                <c:ptCount val="14"/>
                <c:pt idx="0">
                  <c:v>430</c:v>
                </c:pt>
                <c:pt idx="1">
                  <c:v>310</c:v>
                </c:pt>
                <c:pt idx="2">
                  <c:v>216</c:v>
                </c:pt>
                <c:pt idx="3">
                  <c:v>57</c:v>
                </c:pt>
                <c:pt idx="4">
                  <c:v>46</c:v>
                </c:pt>
                <c:pt idx="5">
                  <c:v>31</c:v>
                </c:pt>
                <c:pt idx="6">
                  <c:v>26</c:v>
                </c:pt>
                <c:pt idx="7">
                  <c:v>15</c:v>
                </c:pt>
                <c:pt idx="8">
                  <c:v>7</c:v>
                </c:pt>
                <c:pt idx="9">
                  <c:v>90</c:v>
                </c:pt>
                <c:pt idx="10">
                  <c:v>49</c:v>
                </c:pt>
                <c:pt idx="11">
                  <c:v>42</c:v>
                </c:pt>
                <c:pt idx="12">
                  <c:v>19</c:v>
                </c:pt>
                <c:pt idx="13">
                  <c:v>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386384"/>
        <c:axId val="401420208"/>
      </c:lineChart>
      <c:catAx>
        <c:axId val="40138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420208"/>
        <c:crosses val="autoZero"/>
        <c:auto val="1"/>
        <c:lblAlgn val="ctr"/>
        <c:lblOffset val="100"/>
        <c:noMultiLvlLbl val="0"/>
      </c:catAx>
      <c:valAx>
        <c:axId val="4014202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8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3</xdr:row>
      <xdr:rowOff>15476</xdr:rowOff>
    </xdr:from>
    <xdr:to>
      <xdr:col>4</xdr:col>
      <xdr:colOff>11906</xdr:colOff>
      <xdr:row>21</xdr:row>
      <xdr:rowOff>95249</xdr:rowOff>
    </xdr:to>
    <xdr:graphicFrame macro="">
      <xdr:nvGraphicFramePr>
        <xdr:cNvPr id="3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61912</xdr:colOff>
      <xdr:row>10</xdr:row>
      <xdr:rowOff>133347</xdr:rowOff>
    </xdr:from>
    <xdr:to>
      <xdr:col>1</xdr:col>
      <xdr:colOff>1313362</xdr:colOff>
      <xdr:row>15</xdr:row>
      <xdr:rowOff>166685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2038347"/>
              <a:ext cx="1251450" cy="9858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61912</xdr:colOff>
      <xdr:row>15</xdr:row>
      <xdr:rowOff>169066</xdr:rowOff>
    </xdr:from>
    <xdr:to>
      <xdr:col>1</xdr:col>
      <xdr:colOff>1313362</xdr:colOff>
      <xdr:row>24</xdr:row>
      <xdr:rowOff>178595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3026565"/>
              <a:ext cx="12514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142874</xdr:colOff>
      <xdr:row>3</xdr:row>
      <xdr:rowOff>15477</xdr:rowOff>
    </xdr:from>
    <xdr:to>
      <xdr:col>12</xdr:col>
      <xdr:colOff>71437</xdr:colOff>
      <xdr:row>21</xdr:row>
      <xdr:rowOff>95250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83325</xdr:colOff>
      <xdr:row>0</xdr:row>
      <xdr:rowOff>0</xdr:rowOff>
    </xdr:from>
    <xdr:to>
      <xdr:col>11</xdr:col>
      <xdr:colOff>711975</xdr:colOff>
      <xdr:row>2</xdr:row>
      <xdr:rowOff>125557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38" y="0"/>
          <a:ext cx="1390650" cy="506557"/>
        </a:xfrm>
        <a:prstGeom prst="rect">
          <a:avLst/>
        </a:prstGeom>
      </xdr:spPr>
    </xdr:pic>
    <xdr:clientData/>
  </xdr:twoCellAnchor>
  <xdr:twoCellAnchor editAs="oneCell">
    <xdr:from>
      <xdr:col>1</xdr:col>
      <xdr:colOff>71438</xdr:colOff>
      <xdr:row>5</xdr:row>
      <xdr:rowOff>83344</xdr:rowOff>
    </xdr:from>
    <xdr:to>
      <xdr:col>1</xdr:col>
      <xdr:colOff>1324238</xdr:colOff>
      <xdr:row>10</xdr:row>
      <xdr:rowOff>117244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v_orige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v_orig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1" y="1035844"/>
              <a:ext cx="1252800" cy="98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166687</xdr:colOff>
      <xdr:row>37</xdr:row>
      <xdr:rowOff>15478</xdr:rowOff>
    </xdr:from>
    <xdr:to>
      <xdr:col>12</xdr:col>
      <xdr:colOff>83343</xdr:colOff>
      <xdr:row>53</xdr:row>
      <xdr:rowOff>83344</xdr:rowOff>
    </xdr:to>
    <xdr:graphicFrame macro="">
      <xdr:nvGraphicFramePr>
        <xdr:cNvPr id="11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1404935</xdr:colOff>
      <xdr:row>22</xdr:row>
      <xdr:rowOff>51195</xdr:rowOff>
    </xdr:from>
    <xdr:to>
      <xdr:col>12</xdr:col>
      <xdr:colOff>59530</xdr:colOff>
      <xdr:row>36</xdr:row>
      <xdr:rowOff>67864</xdr:rowOff>
    </xdr:to>
    <xdr:graphicFrame macro="">
      <xdr:nvGraphicFramePr>
        <xdr:cNvPr id="12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0</xdr:rowOff>
        </xdr:from>
        <xdr:to>
          <xdr:col>1</xdr:col>
          <xdr:colOff>1352550</xdr:colOff>
          <xdr:row>4</xdr:row>
          <xdr:rowOff>123825</xdr:rowOff>
        </xdr:to>
        <xdr:sp macro="" textlink="">
          <xdr:nvSpPr>
            <xdr:cNvPr id="1025" name="cmdPorProducto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702450</xdr:colOff>
      <xdr:row>0</xdr:row>
      <xdr:rowOff>0</xdr:rowOff>
    </xdr:from>
    <xdr:to>
      <xdr:col>16</xdr:col>
      <xdr:colOff>569100</xdr:colOff>
      <xdr:row>2</xdr:row>
      <xdr:rowOff>125557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61138" y="0"/>
          <a:ext cx="1390650" cy="5065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0</xdr:rowOff>
        </xdr:from>
        <xdr:to>
          <xdr:col>2</xdr:col>
          <xdr:colOff>590550</xdr:colOff>
          <xdr:row>4</xdr:row>
          <xdr:rowOff>123825</xdr:rowOff>
        </xdr:to>
        <xdr:sp macro="" textlink="">
          <xdr:nvSpPr>
            <xdr:cNvPr id="3073" name="cmdGeneral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654843</xdr:colOff>
      <xdr:row>3</xdr:row>
      <xdr:rowOff>3572</xdr:rowOff>
    </xdr:from>
    <xdr:to>
      <xdr:col>16</xdr:col>
      <xdr:colOff>750093</xdr:colOff>
      <xdr:row>29</xdr:row>
      <xdr:rowOff>0</xdr:rowOff>
    </xdr:to>
    <xdr:graphicFrame macro="">
      <xdr:nvGraphicFramePr>
        <xdr:cNvPr id="3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97631</xdr:colOff>
      <xdr:row>5</xdr:row>
      <xdr:rowOff>14287</xdr:rowOff>
    </xdr:from>
    <xdr:to>
      <xdr:col>2</xdr:col>
      <xdr:colOff>588431</xdr:colOff>
      <xdr:row>10</xdr:row>
      <xdr:rowOff>48187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v_orige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v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694" y="966787"/>
              <a:ext cx="1252800" cy="98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97631</xdr:colOff>
      <xdr:row>10</xdr:row>
      <xdr:rowOff>145256</xdr:rowOff>
    </xdr:from>
    <xdr:to>
      <xdr:col>2</xdr:col>
      <xdr:colOff>588431</xdr:colOff>
      <xdr:row>15</xdr:row>
      <xdr:rowOff>179156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Ñ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694" y="2050256"/>
              <a:ext cx="1252800" cy="98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97631</xdr:colOff>
      <xdr:row>16</xdr:row>
      <xdr:rowOff>14288</xdr:rowOff>
    </xdr:from>
    <xdr:to>
      <xdr:col>2</xdr:col>
      <xdr:colOff>588431</xdr:colOff>
      <xdr:row>29</xdr:row>
      <xdr:rowOff>57788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694" y="3062288"/>
              <a:ext cx="1252800" cy="25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pinoza, Manuel " refreshedDate="43270.44766539352" createdVersion="5" refreshedVersion="5" minRefreshableVersion="3" recordCount="94">
  <cacheSource type="worksheet">
    <worksheetSource name="Tabla__192.168.1.8_POSEIDONSQL_APPFVT_01_SQLDevolucionesConMotivo_1"/>
  </cacheSource>
  <cacheFields count="19">
    <cacheField name="usu_codigo" numFmtId="0">
      <sharedItems containsSemiMixedTypes="0" containsString="0" containsNumber="1" containsInteger="1" minValue="55" maxValue="55"/>
    </cacheField>
    <cacheField name="inf_tipoInforme" numFmtId="0">
      <sharedItems containsSemiMixedTypes="0" containsString="0" containsNumber="1" containsInteger="1" minValue="2" maxValue="2"/>
    </cacheField>
    <cacheField name="car_nombre" numFmtId="0">
      <sharedItems containsBlank="1" count="10">
        <s v="SODIMAC S.A"/>
        <s v="HOMY"/>
        <s v="HITES S.A."/>
        <s v="FALABELLA RETAIL S.A."/>
        <s v="EASY S.A."/>
        <s v="RIPLEY"/>
        <s v="PARIS"/>
        <s v="CORONA"/>
        <s v="LIDER"/>
        <m u="1"/>
      </sharedItems>
    </cacheField>
    <cacheField name="con_ocnumero" numFmtId="0">
      <sharedItems containsSemiMixedTypes="0" containsString="0" containsNumber="1" containsInteger="1" minValue="335585" maxValue="8100460296"/>
    </cacheField>
    <cacheField name="pic_codigo" numFmtId="0">
      <sharedItems containsSemiMixedTypes="0" containsString="0" containsNumber="1" containsInteger="1" minValue="4002" maxValue="4848"/>
    </cacheField>
    <cacheField name="pro_codigointerno" numFmtId="0">
      <sharedItems containsBlank="1" count="119">
        <s v="170778"/>
        <s v="181529"/>
        <s v="181612"/>
        <s v="181661"/>
        <s v="181660"/>
        <s v="120012"/>
        <s v="170785"/>
        <s v="181615"/>
        <s v="181600"/>
        <s v="181607"/>
        <s v="181595"/>
        <s v="165525"/>
        <s v="181606"/>
        <s v="110301"/>
        <s v="181552"/>
        <s v="120011"/>
        <s v="181574"/>
        <s v="165677"/>
        <s v="181553"/>
        <s v="181545A"/>
        <s v="181665"/>
        <s v="181648"/>
        <s v="181684"/>
        <s v="181603"/>
        <s v="170211"/>
        <s v="161012"/>
        <s v="181544"/>
        <s v="190208"/>
        <s v="181575"/>
        <s v="181693"/>
        <s v="120023"/>
        <s v="181589"/>
        <s v="181598"/>
        <s v="165633"/>
        <s v="161007"/>
        <s v="161004"/>
        <s v="181670"/>
        <s v="130643"/>
        <s v="170120"/>
        <s v="181621"/>
        <s v="130291"/>
        <s v="160116"/>
        <s v="181519"/>
        <s v="130274"/>
        <s v="181624"/>
        <s v="181569"/>
        <s v="181778"/>
        <s v="170761"/>
        <s v="181754"/>
        <s v="181756"/>
        <s v="165501"/>
        <s v="181566"/>
        <s v="165688"/>
        <m u="1"/>
        <s v="120066" u="1"/>
        <s v="130703" u="1"/>
        <s v="165369" u="1"/>
        <s v="140645" u="1"/>
        <s v="190207" u="1"/>
        <s v="130298" u="1"/>
        <s v="181623" u="1"/>
        <s v="130278" u="1"/>
        <s v="165879A" u="1"/>
        <s v="181691" u="1"/>
        <s v="160121" u="1"/>
        <s v="181686" u="1"/>
        <s v="181735" u="1"/>
        <s v="181720" u="1"/>
        <s v="181646" u="1"/>
        <s v="181631" u="1"/>
        <s v="181626" u="1"/>
        <s v="130271" u="1"/>
        <s v="130266" u="1"/>
        <s v="165523" u="1"/>
        <s v="181590" u="1"/>
        <s v="165503" u="1"/>
        <s v="181570" u="1"/>
        <s v="165660" u="1"/>
        <s v="130289" u="1"/>
        <s v="181682" u="1"/>
        <s v="181593" u="1"/>
        <s v="181662" u="1"/>
        <s v="181573" u="1"/>
        <s v="181637" u="1"/>
        <s v="165643" u="1"/>
        <s v="175118" u="1"/>
        <s v="120013" u="1"/>
        <s v="161011" u="1"/>
        <s v="181645" u="1"/>
        <s v="181630" u="1"/>
        <s v="130290" u="1"/>
        <s v="181556" u="1"/>
        <s v="181625" u="1"/>
        <s v="181605" u="1"/>
        <s v="165502" u="1"/>
        <s v="161009" u="1"/>
        <s v="181633" u="1"/>
        <s v="165530" u="1"/>
        <s v="181681" u="1"/>
        <s v="165682" u="1"/>
        <s v="181636" u="1"/>
        <s v="165690" u="1"/>
        <s v="181664" u="1"/>
        <s v="161010" u="1"/>
        <s v="161005" u="1"/>
        <s v="181555" u="1"/>
        <s v="130284" u="1"/>
        <s v="181520" u="1"/>
        <s v="181515" u="1"/>
        <s v="110604" u="1"/>
        <s v="181583" u="1"/>
        <s v="181647" u="1"/>
        <s v="181632" u="1"/>
        <s v="181627" u="1"/>
        <s v="181586" u="1"/>
        <s v="181571" u="1"/>
        <s v="181551" u="1"/>
        <s v="181620" u="1"/>
        <s v="181531" u="1"/>
      </sharedItems>
    </cacheField>
    <cacheField name="pro_nombre" numFmtId="0">
      <sharedItems containsBlank="1" count="121">
        <s v="Rack Arterra rov tx - rov tx 52080"/>
        <s v="Lavaplatos 80 Derecho C/Reb Blanco Notavel"/>
        <s v="Poltrona Lennon"/>
        <s v="COMEDOR YORK 1+6"/>
        <s v="COMEDOR TOLEDO 1+6"/>
        <s v="Estante coliseo"/>
        <s v="Rack america + panel rustico malbec"/>
        <s v="Berger Venecia "/>
        <s v="Estante Cristal"/>
        <s v="Closet TV Estella"/>
        <s v="Home Deneb"/>
        <s v="Armario Aereo Mayor Con Vidrio Ref:3247 Bco"/>
        <s v="Closet Alemania 6 puertas 2 cajones (New Euro"/>
        <s v="Bar de Canto Puerto Montt Tabaco"/>
        <s v="Home Lara 1.35 "/>
        <s v="Home Roma "/>
        <s v="COCINA ISADORA TEKA BROWN"/>
        <s v="Cocina 6 puertas kit 2306 bco negro"/>
        <s v="Rack Arizona 1.71"/>
        <s v="Respaldo Celaya"/>
        <s v="SET RESPALDO+2VELADOR ALICIA(New Bento)"/>
        <s v="Kit Lara"/>
        <s v="Cocina Milan (New Arezzo)"/>
        <s v="Rack Pegasus"/>
        <s v="Rack prada"/>
        <s v="kit dormitorio + modulo 1233 + 3017 aberto"/>
        <s v="Set respaldo con cajón new bento "/>
        <s v="Soporte LCD 43-46"/>
        <s v="SOPORTE TV 23-55 LPA 51-441"/>
        <s v="Combo Mauillin 1,2,3,4,  "/>
        <s v="Estante Aruba"/>
        <s v="Arrimo Monet"/>
        <s v="Kit Cocina Priss"/>
        <s v="Cocina Iza"/>
        <s v="Escritorio Malta 2 cajones 1171"/>
        <s v="Escritorio Nazca artico 1215"/>
        <s v="SET RESPALDO 1.5+1 VELADOR CLAUDIA"/>
        <s v="Closet Domani 6p 4c rovere tx"/>
        <s v="New Santiago"/>
        <s v="Cajonera kuta 15"/>
        <s v="Cocina Michelle"/>
        <s v="Mesa de Centro Classic rustico malbec"/>
        <s v="Poltrona Laura"/>
        <s v="Bar atlanta Imbuia"/>
        <s v="Rack tv palu"/>
        <s v="Kit Cocina Simona Teka / Brown"/>
        <s v="Cabinet Isis Microondas"/>
        <s v="Rack Royal ipe tx/ rovere"/>
        <s v="Comoda 4 Cajones + Puertas Dubai"/>
        <s v="Rack Line (New Zero)"/>
        <s v="Mueble Organizador Cerro Largo Blanco"/>
        <s v="Depensa 1 Puerta alta"/>
        <s v="Cocina Aline 0308 Nogal-bco"/>
        <m u="1"/>
        <s v="Estante Grande Barcelona" u="1"/>
        <s v="KIT COCINA CAMILA " u="1"/>
        <s v="Mueble Organizador Lucena Blanco" u="1"/>
        <s v="Rack Bilbao" u="1"/>
        <s v="Mesa laterl Bia" u="1"/>
        <s v="TV Stand Puerto Rico Bco - Castaño " u="1"/>
        <s v="Racka Texas Cataño" u="1"/>
        <s v="Bar Salamanca tabaco" u="1"/>
        <s v="Mesa para TV MDP New Montana 2 negro -negro glass " u="1"/>
        <s v="Closet America (Coimbra)" u="1"/>
        <s v="Poltrona Violeta" u="1"/>
        <s v="Cocina Tridimensional + balcon bco/neg" u="1"/>
        <s v="Lavaplato 120 eco importado bco" u="1"/>
        <s v="Armario multiuso Goias Castaño" u="1"/>
        <s v="Closet 4 Puertas Ambar  " u="1"/>
        <s v="Sofa  2 cuerpos Smith" u="1"/>
        <s v="Mesa de Centro Chocolate" u="1"/>
        <s v="kit office escritorio aereo + modulo 1233 + 3017 aberto - artico" u="1"/>
        <s v="Rack New Montana bco" u="1"/>
        <s v="KIT COCINA ISABELA" u="1"/>
        <s v="Respaldo Monaco" u="1"/>
        <s v="Mesa de centro pt mad Cataño 160389" u="1"/>
        <s v="Armario Aereo Canela Ref: 3468 Blanco" u="1"/>
        <s v="Juego de comedor 6+1 dinamarca" u="1"/>
        <s v="Poltrona albi  " u="1"/>
        <s v="Respaldo Oregon 2plz + 2 veladores" u="1"/>
        <s v="Cocina kit Ana 0100 bco/gris" u="1"/>
        <s v="RACK QUARTZ" u="1"/>
        <s v="Combo Osorno 1,2,3" u="1"/>
        <s v="New Rack Lottus" u="1"/>
        <s v="Lavaplatos 100 Derecho C/Reb Blanco Notavel" u="1"/>
        <s v="Mesa para tv MDP Montana Nat - Bco glas" u="1"/>
        <s v="Escritorio Olimpia aberto - artico" u="1"/>
        <s v="Comedor Bela Olimpia 1+6" u="1"/>
        <s v="Closet Rubi 12 ptas, 3 cajones" u="1"/>
        <s v="Cocina Julia 2005 + balcon 2006 " u="1"/>
        <s v="Juego de comedor mali 6+1" u="1"/>
        <s v="Poltrona Luna" u="1"/>
        <s v="Juego de comedor oxford 1+6" u="1"/>
        <s v="KIT COCINA 8P 2308" u="1"/>
        <s v="Mueble Organizador Sinop Blanco" u="1"/>
        <s v="Comoda Pilar Nogal" u="1"/>
        <s v="Comedor barcelona 6+1" u="1"/>
        <s v="Escritorio Cali artico" u="1"/>
        <s v="Armario Aracaju puerta de vidrio" u="1"/>
        <s v="Bar Estocolmo" u="1"/>
        <s v="Juego de 2 sofia 1+6" u="1"/>
        <s v="TOILETTE AEREO" u="1"/>
        <s v="Escritorio España kit castaño 1176" u="1"/>
        <s v="Combo Frutillar 1,3   " u="1"/>
        <s v="Armario aereo con perchero 160395" u="1"/>
        <s v="Closet 6 puertas Ambar" u="1"/>
        <s v="Comedor francia 6+1" u="1"/>
        <s v="Cajonera depok 11 " u="1"/>
        <s v="Mesa de Centro CAROLINA rojo laca - café" u="1"/>
        <s v="Mesa de centro Nordico" u="1"/>
        <s v="Cocina Flavia teka - brown" u="1"/>
        <s v="Mesa lateral niza" u="1"/>
        <s v="Juego de comedor sofia 1+6" u="1"/>
        <s v="Home Ipanema 1.80 " u="1"/>
        <s v="Escritorio Curitiba artico" u="1"/>
        <s v="Mesa de centro Monet" u="1"/>
        <s v="Home Safi (Jade) " u="1"/>
        <s v="Cajonera solok 15" u="1"/>
        <s v="Soporte LCD LP34-46T" u="1"/>
        <s v="KIT COCINA MIRELA" u="1"/>
        <s v="Estante Chico Barcelona" u="1"/>
      </sharedItems>
    </cacheField>
    <cacheField name="cant_pedida" numFmtId="0">
      <sharedItems containsSemiMixedTypes="0" containsString="0" containsNumber="1" containsInteger="1" minValue="1" maxValue="310"/>
    </cacheField>
    <cacheField name="tdv_nombre" numFmtId="0">
      <sharedItems containsBlank="1" count="20">
        <s v="PRODUCTO MAL ETIQUETADO / ROTULACION ILEGIBLE"/>
        <s v="NOTA DE CREDITO / CLIENTE ANULA"/>
        <s v="CLIENTE ANULA "/>
        <s v="FACTURA NO CARGADA EN B2B"/>
        <s v="EMBALAJE EN MAL ESTADO/PRODUCTO DAÑADO."/>
        <s v="CARGA MAL ESTIBADA "/>
        <s v="NO SE DESPACHA PRODUCTO/ SOLO DOCUMENTACIÓN"/>
        <s v="PRESENTACIÓN FUERA DE HORARIO PROGRAMADO."/>
        <s v="PRODUCTO YA DESPACHADO"/>
        <s v="PRODUCTO NO SOLICITADO / SOBRANTE"/>
        <m u="1"/>
        <s v="DOCUMENTACIÓN NO CORRESPONDE." u="1"/>
        <s v="OC VENCIDA POR FECHA (CANCELADA)" u="1"/>
        <s v="PRODUCTO INCOMPLETO" u="1"/>
        <s v="PRODUCTO SIN STOCK" u="1"/>
        <s v="OC NO PROGRAMADA CON CLIENTE " u="1"/>
        <s v="FACTURA INCOMPLETA/PRODUCTO FALTANTE" u="1"/>
        <s v="PRODUCTO SIN FACTURA" u="1"/>
        <s v="SIN DESPACHO POR DISPONIBILIDAD DE TRANSP" u="1"/>
        <s v="O/C CON FECHA DE ENTREGA POSTERIOR" u="1"/>
      </sharedItems>
    </cacheField>
    <cacheField name="cant_entrega" numFmtId="0">
      <sharedItems containsSemiMixedTypes="0" containsString="0" containsNumber="1" containsInteger="1" minValue="1" maxValue="310"/>
    </cacheField>
    <cacheField name="dev_fecha" numFmtId="0">
      <sharedItems/>
    </cacheField>
    <cacheField name="dev_cantidad" numFmtId="0">
      <sharedItems containsSemiMixedTypes="0" containsString="0" containsNumber="1" containsInteger="1" minValue="1" maxValue="310"/>
    </cacheField>
    <cacheField name="are_nombre" numFmtId="0">
      <sharedItems/>
    </cacheField>
    <cacheField name="glo_nombre" numFmtId="0">
      <sharedItems/>
    </cacheField>
    <cacheField name="dev_nfactura" numFmtId="0">
      <sharedItems containsSemiMixedTypes="0" containsString="0" containsNumber="1" containsInteger="1" minValue="0" maxValue="93865"/>
    </cacheField>
    <cacheField name="dev_nguia" numFmtId="0">
      <sharedItems containsSemiMixedTypes="0" containsString="0" containsNumber="1" containsInteger="1" minValue="0" maxValue="14586"/>
    </cacheField>
    <cacheField name="dev_origen" numFmtId="0">
      <sharedItems containsBlank="1" count="3">
        <s v="PRODUCTO"/>
        <s v="PICKING"/>
        <m u="1"/>
      </sharedItems>
    </cacheField>
    <cacheField name="AÑO" numFmtId="0">
      <sharedItems containsSemiMixedTypes="0" containsString="0" containsNumber="1" containsInteger="1" minValue="2017" maxValue="2018" count="2">
        <n v="2018"/>
        <n v="2017" u="1"/>
      </sharedItems>
    </cacheField>
    <cacheField name="MES" numFmtId="0">
      <sharedItems containsBlank="1" count="12">
        <s v="ABRIL"/>
        <s v="MAYO"/>
        <m u="1"/>
        <s v="AGOSTO" u="1"/>
        <s v="MARZO" u="1"/>
        <s v="OCTUBRE" u="1"/>
        <s v="NOVIEMBRE" u="1"/>
        <s v="JULIO" u="1"/>
        <s v="FEBRERO" u="1"/>
        <s v="DICIEMBRE" u="1"/>
        <s v="ENERO" u="1"/>
        <s v="JUNIO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">
  <r>
    <n v="55"/>
    <n v="2"/>
    <x v="0"/>
    <n v="8397139"/>
    <n v="4008"/>
    <x v="0"/>
    <x v="0"/>
    <n v="57"/>
    <x v="0"/>
    <n v="57"/>
    <s v="03-04-2018"/>
    <n v="57"/>
    <s v="-"/>
    <s v="-"/>
    <n v="0"/>
    <n v="14283"/>
    <x v="0"/>
    <x v="0"/>
    <x v="0"/>
  </r>
  <r>
    <n v="55"/>
    <n v="2"/>
    <x v="0"/>
    <n v="8454485"/>
    <n v="4527"/>
    <x v="1"/>
    <x v="1"/>
    <n v="42"/>
    <x v="1"/>
    <n v="84"/>
    <s v="08-05-2018"/>
    <n v="42"/>
    <s v="-"/>
    <s v="-"/>
    <n v="0"/>
    <n v="14586"/>
    <x v="0"/>
    <x v="0"/>
    <x v="1"/>
  </r>
  <r>
    <n v="55"/>
    <n v="2"/>
    <x v="1"/>
    <n v="8390019"/>
    <n v="4101"/>
    <x v="2"/>
    <x v="2"/>
    <n v="2"/>
    <x v="0"/>
    <n v="14"/>
    <s v="04-04-2018"/>
    <n v="7"/>
    <s v="-"/>
    <s v="-"/>
    <n v="0"/>
    <n v="3606"/>
    <x v="0"/>
    <x v="0"/>
    <x v="0"/>
  </r>
  <r>
    <n v="55"/>
    <n v="2"/>
    <x v="1"/>
    <n v="8440442"/>
    <n v="4376"/>
    <x v="3"/>
    <x v="3"/>
    <n v="1"/>
    <x v="2"/>
    <n v="1"/>
    <s v="30-04-2018"/>
    <n v="1"/>
    <s v="-"/>
    <s v="-"/>
    <n v="0"/>
    <n v="0"/>
    <x v="1"/>
    <x v="0"/>
    <x v="0"/>
  </r>
  <r>
    <n v="55"/>
    <n v="2"/>
    <x v="1"/>
    <n v="8452851"/>
    <n v="4508"/>
    <x v="4"/>
    <x v="4"/>
    <n v="1"/>
    <x v="1"/>
    <n v="1"/>
    <s v="10-05-2018"/>
    <n v="1"/>
    <s v="-"/>
    <s v="-"/>
    <n v="0"/>
    <n v="4023"/>
    <x v="0"/>
    <x v="0"/>
    <x v="1"/>
  </r>
  <r>
    <n v="55"/>
    <n v="2"/>
    <x v="1"/>
    <n v="8456471"/>
    <n v="4550"/>
    <x v="5"/>
    <x v="5"/>
    <n v="1"/>
    <x v="1"/>
    <n v="1"/>
    <s v="10-05-2018"/>
    <n v="1"/>
    <s v="-"/>
    <s v="-"/>
    <n v="0"/>
    <n v="4035"/>
    <x v="0"/>
    <x v="0"/>
    <x v="1"/>
  </r>
  <r>
    <n v="55"/>
    <n v="2"/>
    <x v="1"/>
    <n v="8474540"/>
    <n v="4689"/>
    <x v="6"/>
    <x v="6"/>
    <n v="1"/>
    <x v="1"/>
    <n v="1"/>
    <s v="17-05-2018"/>
    <n v="1"/>
    <s v="-"/>
    <s v="-"/>
    <n v="0"/>
    <n v="4119"/>
    <x v="0"/>
    <x v="0"/>
    <x v="1"/>
  </r>
  <r>
    <n v="55"/>
    <n v="2"/>
    <x v="1"/>
    <n v="8479211"/>
    <n v="4755"/>
    <x v="7"/>
    <x v="7"/>
    <n v="1"/>
    <x v="1"/>
    <n v="1"/>
    <s v="22-05-2018"/>
    <n v="1"/>
    <s v="-"/>
    <s v="-"/>
    <n v="0"/>
    <n v="4164"/>
    <x v="0"/>
    <x v="0"/>
    <x v="1"/>
  </r>
  <r>
    <n v="55"/>
    <n v="2"/>
    <x v="2"/>
    <n v="335585"/>
    <n v="4640"/>
    <x v="8"/>
    <x v="8"/>
    <n v="1"/>
    <x v="3"/>
    <n v="1"/>
    <s v="14-05-2018"/>
    <n v="1"/>
    <s v="-"/>
    <s v="-"/>
    <n v="93438"/>
    <n v="0"/>
    <x v="0"/>
    <x v="0"/>
    <x v="1"/>
  </r>
  <r>
    <n v="55"/>
    <n v="2"/>
    <x v="2"/>
    <n v="50045706"/>
    <n v="4055"/>
    <x v="9"/>
    <x v="9"/>
    <n v="1"/>
    <x v="4"/>
    <n v="1"/>
    <s v="05-04-2018"/>
    <n v="1"/>
    <s v="-"/>
    <s v="-"/>
    <n v="91727"/>
    <n v="0"/>
    <x v="0"/>
    <x v="0"/>
    <x v="0"/>
  </r>
  <r>
    <n v="55"/>
    <n v="2"/>
    <x v="2"/>
    <n v="50045896"/>
    <n v="4183"/>
    <x v="10"/>
    <x v="10"/>
    <n v="1"/>
    <x v="4"/>
    <n v="1"/>
    <s v="17-04-2018"/>
    <n v="1"/>
    <s v="-"/>
    <s v="-"/>
    <n v="92414"/>
    <n v="0"/>
    <x v="0"/>
    <x v="0"/>
    <x v="0"/>
  </r>
  <r>
    <n v="55"/>
    <n v="2"/>
    <x v="2"/>
    <n v="50046023"/>
    <n v="4183"/>
    <x v="11"/>
    <x v="11"/>
    <n v="1"/>
    <x v="4"/>
    <n v="1"/>
    <s v="17-04-2018"/>
    <n v="1"/>
    <s v="-"/>
    <s v="-"/>
    <n v="92418"/>
    <n v="0"/>
    <x v="0"/>
    <x v="0"/>
    <x v="0"/>
  </r>
  <r>
    <n v="55"/>
    <n v="2"/>
    <x v="2"/>
    <n v="50046617"/>
    <n v="4445"/>
    <x v="12"/>
    <x v="12"/>
    <n v="1"/>
    <x v="4"/>
    <n v="1"/>
    <s v="03-05-2018"/>
    <n v="1"/>
    <s v="-"/>
    <s v="-"/>
    <n v="93198"/>
    <n v="0"/>
    <x v="0"/>
    <x v="0"/>
    <x v="1"/>
  </r>
  <r>
    <n v="55"/>
    <n v="2"/>
    <x v="2"/>
    <n v="50046817"/>
    <n v="4503"/>
    <x v="13"/>
    <x v="13"/>
    <n v="1"/>
    <x v="4"/>
    <n v="1"/>
    <s v="10-05-2018"/>
    <n v="1"/>
    <s v="-"/>
    <s v="-"/>
    <n v="93357"/>
    <n v="0"/>
    <x v="0"/>
    <x v="0"/>
    <x v="1"/>
  </r>
  <r>
    <n v="55"/>
    <n v="2"/>
    <x v="2"/>
    <n v="50046862"/>
    <n v="4503"/>
    <x v="14"/>
    <x v="14"/>
    <n v="1"/>
    <x v="1"/>
    <n v="1"/>
    <s v="09-05-2018"/>
    <n v="1"/>
    <s v="-"/>
    <s v="-"/>
    <n v="93358"/>
    <n v="0"/>
    <x v="0"/>
    <x v="0"/>
    <x v="1"/>
  </r>
  <r>
    <n v="55"/>
    <n v="2"/>
    <x v="2"/>
    <n v="50046862"/>
    <n v="4503"/>
    <x v="14"/>
    <x v="14"/>
    <n v="1"/>
    <x v="1"/>
    <n v="1"/>
    <s v="09-05-2018"/>
    <n v="1"/>
    <s v="-"/>
    <s v="-"/>
    <n v="93358"/>
    <n v="0"/>
    <x v="0"/>
    <x v="0"/>
    <x v="1"/>
  </r>
  <r>
    <n v="55"/>
    <n v="2"/>
    <x v="2"/>
    <n v="50046862"/>
    <n v="4502"/>
    <x v="8"/>
    <x v="8"/>
    <n v="1"/>
    <x v="4"/>
    <n v="1"/>
    <s v="03-05-2018"/>
    <n v="1"/>
    <s v="-"/>
    <s v="-"/>
    <n v="93217"/>
    <n v="0"/>
    <x v="0"/>
    <x v="0"/>
    <x v="1"/>
  </r>
  <r>
    <n v="55"/>
    <n v="2"/>
    <x v="2"/>
    <n v="50047772"/>
    <n v="4848"/>
    <x v="15"/>
    <x v="15"/>
    <n v="1"/>
    <x v="4"/>
    <n v="1"/>
    <s v="29-05-2018"/>
    <n v="1"/>
    <s v="-"/>
    <s v="-"/>
    <n v="93865"/>
    <n v="0"/>
    <x v="0"/>
    <x v="0"/>
    <x v="1"/>
  </r>
  <r>
    <n v="55"/>
    <n v="2"/>
    <x v="3"/>
    <n v="9186197"/>
    <n v="4088"/>
    <x v="16"/>
    <x v="16"/>
    <n v="1"/>
    <x v="2"/>
    <n v="2"/>
    <s v="25-04-2018"/>
    <n v="1"/>
    <s v="-"/>
    <s v="-"/>
    <n v="0"/>
    <n v="0"/>
    <x v="1"/>
    <x v="0"/>
    <x v="0"/>
  </r>
  <r>
    <n v="55"/>
    <n v="2"/>
    <x v="3"/>
    <n v="9202321"/>
    <n v="4148"/>
    <x v="17"/>
    <x v="17"/>
    <n v="1"/>
    <x v="2"/>
    <n v="1"/>
    <s v="25-04-2018"/>
    <n v="1"/>
    <s v="-"/>
    <s v="-"/>
    <n v="0"/>
    <n v="0"/>
    <x v="1"/>
    <x v="0"/>
    <x v="0"/>
  </r>
  <r>
    <n v="55"/>
    <n v="2"/>
    <x v="3"/>
    <n v="9232292"/>
    <n v="4381"/>
    <x v="18"/>
    <x v="18"/>
    <n v="1"/>
    <x v="2"/>
    <n v="1"/>
    <s v="30-04-2018"/>
    <n v="1"/>
    <s v="-"/>
    <s v="-"/>
    <n v="0"/>
    <n v="0"/>
    <x v="1"/>
    <x v="0"/>
    <x v="0"/>
  </r>
  <r>
    <n v="55"/>
    <n v="2"/>
    <x v="3"/>
    <n v="9260384"/>
    <n v="4594"/>
    <x v="19"/>
    <x v="19"/>
    <n v="1"/>
    <x v="1"/>
    <n v="1"/>
    <s v="18-05-2018"/>
    <n v="1"/>
    <s v="-"/>
    <s v="-"/>
    <n v="93667"/>
    <n v="0"/>
    <x v="0"/>
    <x v="0"/>
    <x v="1"/>
  </r>
  <r>
    <n v="55"/>
    <n v="2"/>
    <x v="3"/>
    <n v="9274711"/>
    <n v="4622"/>
    <x v="3"/>
    <x v="3"/>
    <n v="1"/>
    <x v="4"/>
    <n v="1"/>
    <s v="23-05-2018"/>
    <n v="1"/>
    <s v="-"/>
    <s v="-"/>
    <n v="93737"/>
    <n v="0"/>
    <x v="0"/>
    <x v="0"/>
    <x v="1"/>
  </r>
  <r>
    <n v="55"/>
    <n v="2"/>
    <x v="3"/>
    <n v="9308553"/>
    <n v="4800"/>
    <x v="20"/>
    <x v="20"/>
    <n v="1"/>
    <x v="2"/>
    <n v="1"/>
    <s v="28-05-2018"/>
    <n v="1"/>
    <s v="-"/>
    <s v="-"/>
    <n v="0"/>
    <n v="0"/>
    <x v="1"/>
    <x v="0"/>
    <x v="1"/>
  </r>
  <r>
    <n v="55"/>
    <n v="2"/>
    <x v="4"/>
    <n v="6503743787"/>
    <n v="4028"/>
    <x v="21"/>
    <x v="21"/>
    <n v="1"/>
    <x v="4"/>
    <n v="1"/>
    <s v="03-04-2018"/>
    <n v="1"/>
    <s v="-"/>
    <s v="-"/>
    <n v="91651"/>
    <n v="0"/>
    <x v="0"/>
    <x v="0"/>
    <x v="0"/>
  </r>
  <r>
    <n v="55"/>
    <n v="2"/>
    <x v="4"/>
    <n v="6503745994"/>
    <n v="4026"/>
    <x v="22"/>
    <x v="22"/>
    <n v="100"/>
    <x v="5"/>
    <n v="100"/>
    <s v="06-04-2018"/>
    <n v="100"/>
    <s v="-"/>
    <s v="-"/>
    <n v="91710"/>
    <n v="0"/>
    <x v="0"/>
    <x v="0"/>
    <x v="0"/>
  </r>
  <r>
    <n v="55"/>
    <n v="2"/>
    <x v="5"/>
    <n v="9108868"/>
    <n v="4296"/>
    <x v="23"/>
    <x v="23"/>
    <n v="1"/>
    <x v="0"/>
    <n v="1"/>
    <s v="25-04-2018"/>
    <n v="1"/>
    <s v="-"/>
    <s v="-"/>
    <n v="92844"/>
    <n v="0"/>
    <x v="0"/>
    <x v="0"/>
    <x v="0"/>
  </r>
  <r>
    <n v="55"/>
    <n v="2"/>
    <x v="5"/>
    <n v="9109441"/>
    <n v="4151"/>
    <x v="23"/>
    <x v="23"/>
    <n v="1"/>
    <x v="6"/>
    <n v="1"/>
    <s v="16-04-2018"/>
    <n v="1"/>
    <s v="-"/>
    <s v="-"/>
    <n v="92210"/>
    <n v="0"/>
    <x v="0"/>
    <x v="0"/>
    <x v="0"/>
  </r>
  <r>
    <n v="55"/>
    <n v="2"/>
    <x v="5"/>
    <n v="9109683"/>
    <n v="4180"/>
    <x v="24"/>
    <x v="24"/>
    <n v="1"/>
    <x v="4"/>
    <n v="1"/>
    <s v="16-04-2018"/>
    <n v="1"/>
    <s v="-"/>
    <s v="-"/>
    <n v="92194"/>
    <n v="0"/>
    <x v="0"/>
    <x v="0"/>
    <x v="0"/>
  </r>
  <r>
    <n v="55"/>
    <n v="2"/>
    <x v="5"/>
    <n v="9109938"/>
    <n v="4177"/>
    <x v="25"/>
    <x v="25"/>
    <n v="1"/>
    <x v="2"/>
    <n v="1"/>
    <s v="25-04-2018"/>
    <n v="1"/>
    <s v="-"/>
    <s v="-"/>
    <n v="0"/>
    <n v="0"/>
    <x v="1"/>
    <x v="0"/>
    <x v="0"/>
  </r>
  <r>
    <n v="55"/>
    <n v="2"/>
    <x v="5"/>
    <n v="9112845"/>
    <n v="4346"/>
    <x v="26"/>
    <x v="26"/>
    <n v="1"/>
    <x v="2"/>
    <n v="1"/>
    <s v="30-04-2018"/>
    <n v="1"/>
    <s v="-"/>
    <s v="-"/>
    <n v="0"/>
    <n v="0"/>
    <x v="1"/>
    <x v="0"/>
    <x v="0"/>
  </r>
  <r>
    <n v="55"/>
    <n v="2"/>
    <x v="5"/>
    <n v="9112875"/>
    <n v="4286"/>
    <x v="27"/>
    <x v="27"/>
    <n v="216"/>
    <x v="4"/>
    <n v="310"/>
    <s v="25-04-2018"/>
    <n v="216"/>
    <s v="-"/>
    <s v="-"/>
    <n v="92659"/>
    <n v="0"/>
    <x v="0"/>
    <x v="0"/>
    <x v="0"/>
  </r>
  <r>
    <n v="55"/>
    <n v="2"/>
    <x v="5"/>
    <n v="9112875"/>
    <n v="4286"/>
    <x v="28"/>
    <x v="28"/>
    <n v="310"/>
    <x v="6"/>
    <n v="8"/>
    <s v="25-04-2018"/>
    <n v="310"/>
    <s v="-"/>
    <s v="-"/>
    <n v="92659"/>
    <n v="0"/>
    <x v="0"/>
    <x v="0"/>
    <x v="0"/>
  </r>
  <r>
    <n v="55"/>
    <n v="2"/>
    <x v="5"/>
    <n v="9113411"/>
    <n v="4296"/>
    <x v="29"/>
    <x v="29"/>
    <n v="1"/>
    <x v="0"/>
    <n v="1"/>
    <s v="25-04-2018"/>
    <n v="1"/>
    <s v="-"/>
    <s v="-"/>
    <n v="92828"/>
    <n v="0"/>
    <x v="0"/>
    <x v="0"/>
    <x v="0"/>
  </r>
  <r>
    <n v="55"/>
    <n v="2"/>
    <x v="5"/>
    <n v="9113942"/>
    <n v="4346"/>
    <x v="30"/>
    <x v="30"/>
    <n v="1"/>
    <x v="2"/>
    <n v="2"/>
    <s v="30-04-2018"/>
    <n v="1"/>
    <s v="-"/>
    <s v="-"/>
    <n v="0"/>
    <n v="0"/>
    <x v="1"/>
    <x v="0"/>
    <x v="0"/>
  </r>
  <r>
    <n v="55"/>
    <n v="2"/>
    <x v="5"/>
    <n v="9113942"/>
    <n v="4346"/>
    <x v="30"/>
    <x v="30"/>
    <n v="1"/>
    <x v="2"/>
    <n v="2"/>
    <s v="30-04-2018"/>
    <n v="1"/>
    <s v="-"/>
    <s v="-"/>
    <n v="0"/>
    <n v="0"/>
    <x v="1"/>
    <x v="0"/>
    <x v="0"/>
  </r>
  <r>
    <n v="55"/>
    <n v="2"/>
    <x v="5"/>
    <n v="9115511"/>
    <n v="4320"/>
    <x v="31"/>
    <x v="31"/>
    <n v="1"/>
    <x v="0"/>
    <n v="1"/>
    <s v="25-04-2018"/>
    <n v="1"/>
    <s v="-"/>
    <s v="-"/>
    <n v="92834"/>
    <n v="0"/>
    <x v="0"/>
    <x v="0"/>
    <x v="0"/>
  </r>
  <r>
    <n v="55"/>
    <n v="2"/>
    <x v="5"/>
    <n v="9117620"/>
    <n v="4414"/>
    <x v="32"/>
    <x v="32"/>
    <n v="1"/>
    <x v="2"/>
    <n v="1"/>
    <s v="02-05-2018"/>
    <n v="1"/>
    <s v="-"/>
    <s v="-"/>
    <n v="0"/>
    <n v="0"/>
    <x v="1"/>
    <x v="0"/>
    <x v="1"/>
  </r>
  <r>
    <n v="55"/>
    <n v="2"/>
    <x v="5"/>
    <n v="9121279"/>
    <n v="4543"/>
    <x v="30"/>
    <x v="30"/>
    <n v="1"/>
    <x v="2"/>
    <n v="1"/>
    <s v="14-05-2018"/>
    <n v="1"/>
    <s v="-"/>
    <s v="-"/>
    <n v="0"/>
    <n v="0"/>
    <x v="1"/>
    <x v="0"/>
    <x v="1"/>
  </r>
  <r>
    <n v="55"/>
    <n v="2"/>
    <x v="5"/>
    <n v="9121357"/>
    <n v="4543"/>
    <x v="30"/>
    <x v="30"/>
    <n v="1"/>
    <x v="2"/>
    <n v="1"/>
    <s v="14-05-2018"/>
    <n v="1"/>
    <s v="-"/>
    <s v="-"/>
    <n v="0"/>
    <n v="0"/>
    <x v="1"/>
    <x v="0"/>
    <x v="1"/>
  </r>
  <r>
    <n v="55"/>
    <n v="2"/>
    <x v="5"/>
    <n v="9121357"/>
    <n v="4543"/>
    <x v="30"/>
    <x v="30"/>
    <n v="1"/>
    <x v="2"/>
    <n v="1"/>
    <s v="14-05-2018"/>
    <n v="1"/>
    <s v="-"/>
    <s v="-"/>
    <n v="0"/>
    <n v="0"/>
    <x v="1"/>
    <x v="0"/>
    <x v="1"/>
  </r>
  <r>
    <n v="55"/>
    <n v="2"/>
    <x v="5"/>
    <n v="9122276"/>
    <n v="4543"/>
    <x v="33"/>
    <x v="33"/>
    <n v="1"/>
    <x v="4"/>
    <n v="1"/>
    <s v="14-05-2018"/>
    <n v="1"/>
    <s v="-"/>
    <s v="-"/>
    <n v="93507"/>
    <n v="0"/>
    <x v="0"/>
    <x v="0"/>
    <x v="1"/>
  </r>
  <r>
    <n v="55"/>
    <n v="2"/>
    <x v="5"/>
    <n v="9131569"/>
    <n v="4774"/>
    <x v="25"/>
    <x v="25"/>
    <n v="1"/>
    <x v="2"/>
    <n v="1"/>
    <s v="24-05-2018"/>
    <n v="1"/>
    <s v="-"/>
    <s v="-"/>
    <n v="0"/>
    <n v="0"/>
    <x v="1"/>
    <x v="0"/>
    <x v="1"/>
  </r>
  <r>
    <n v="55"/>
    <n v="2"/>
    <x v="4"/>
    <n v="6503745994"/>
    <n v="4026"/>
    <x v="22"/>
    <x v="22"/>
    <n v="100"/>
    <x v="4"/>
    <n v="100"/>
    <s v="10-04-2018"/>
    <n v="100"/>
    <s v="-"/>
    <s v="-"/>
    <n v="91906"/>
    <n v="0"/>
    <x v="0"/>
    <x v="0"/>
    <x v="0"/>
  </r>
  <r>
    <n v="55"/>
    <n v="2"/>
    <x v="4"/>
    <n v="6503746276"/>
    <n v="4002"/>
    <x v="34"/>
    <x v="34"/>
    <n v="1"/>
    <x v="1"/>
    <n v="1"/>
    <s v="11-04-2018"/>
    <n v="1"/>
    <s v="-"/>
    <s v="-"/>
    <n v="91556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1955"/>
    <n v="4036"/>
    <x v="22"/>
    <x v="22"/>
    <n v="10"/>
    <x v="7"/>
    <n v="10"/>
    <s v="06-04-2018"/>
    <n v="10"/>
    <s v="-"/>
    <s v="-"/>
    <n v="91621"/>
    <n v="0"/>
    <x v="0"/>
    <x v="0"/>
    <x v="0"/>
  </r>
  <r>
    <n v="55"/>
    <n v="2"/>
    <x v="4"/>
    <n v="6503758764"/>
    <n v="4052"/>
    <x v="35"/>
    <x v="35"/>
    <n v="1"/>
    <x v="1"/>
    <n v="1"/>
    <s v="11-04-2018"/>
    <n v="1"/>
    <s v="-"/>
    <s v="-"/>
    <n v="91787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2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2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63491"/>
    <n v="4126"/>
    <x v="22"/>
    <x v="22"/>
    <n v="10"/>
    <x v="1"/>
    <n v="10"/>
    <s v="12-04-2018"/>
    <n v="10"/>
    <s v="-"/>
    <s v="-"/>
    <n v="92033"/>
    <n v="0"/>
    <x v="0"/>
    <x v="0"/>
    <x v="0"/>
  </r>
  <r>
    <n v="55"/>
    <n v="2"/>
    <x v="4"/>
    <n v="6503779217"/>
    <n v="4187"/>
    <x v="34"/>
    <x v="34"/>
    <n v="1"/>
    <x v="8"/>
    <n v="1"/>
    <s v="16-04-2018"/>
    <n v="1"/>
    <s v="-"/>
    <s v="-"/>
    <n v="92142"/>
    <n v="0"/>
    <x v="0"/>
    <x v="0"/>
    <x v="0"/>
  </r>
  <r>
    <n v="55"/>
    <n v="2"/>
    <x v="4"/>
    <n v="6503786479"/>
    <n v="4267"/>
    <x v="36"/>
    <x v="36"/>
    <n v="1"/>
    <x v="4"/>
    <n v="1"/>
    <s v="24-04-2018"/>
    <n v="1"/>
    <s v="-"/>
    <s v="-"/>
    <n v="92717"/>
    <n v="0"/>
    <x v="0"/>
    <x v="0"/>
    <x v="0"/>
  </r>
  <r>
    <n v="55"/>
    <n v="2"/>
    <x v="4"/>
    <n v="6503791581"/>
    <n v="4325"/>
    <x v="13"/>
    <x v="13"/>
    <n v="1"/>
    <x v="4"/>
    <n v="1"/>
    <s v="24-04-2018"/>
    <n v="1"/>
    <s v="-"/>
    <s v="-"/>
    <n v="92762"/>
    <n v="0"/>
    <x v="0"/>
    <x v="0"/>
    <x v="0"/>
  </r>
  <r>
    <n v="55"/>
    <n v="2"/>
    <x v="4"/>
    <n v="6503804029"/>
    <n v="4443"/>
    <x v="37"/>
    <x v="37"/>
    <n v="1"/>
    <x v="8"/>
    <n v="1"/>
    <s v="30-04-2018"/>
    <n v="1"/>
    <s v="-"/>
    <s v="-"/>
    <n v="93095"/>
    <n v="0"/>
    <x v="0"/>
    <x v="0"/>
    <x v="0"/>
  </r>
  <r>
    <n v="55"/>
    <n v="2"/>
    <x v="4"/>
    <n v="6503805320"/>
    <n v="4443"/>
    <x v="38"/>
    <x v="38"/>
    <n v="1"/>
    <x v="1"/>
    <n v="1"/>
    <s v="30-04-2018"/>
    <n v="1"/>
    <s v="-"/>
    <s v="-"/>
    <n v="93105"/>
    <n v="0"/>
    <x v="0"/>
    <x v="0"/>
    <x v="0"/>
  </r>
  <r>
    <n v="55"/>
    <n v="2"/>
    <x v="4"/>
    <n v="6503810559"/>
    <n v="4501"/>
    <x v="39"/>
    <x v="39"/>
    <n v="1"/>
    <x v="1"/>
    <n v="3"/>
    <s v="07-05-2018"/>
    <n v="1"/>
    <s v="-"/>
    <s v="-"/>
    <n v="93336"/>
    <n v="0"/>
    <x v="0"/>
    <x v="0"/>
    <x v="1"/>
  </r>
  <r>
    <n v="55"/>
    <n v="2"/>
    <x v="4"/>
    <n v="6503818333"/>
    <n v="4616"/>
    <x v="40"/>
    <x v="40"/>
    <n v="60"/>
    <x v="1"/>
    <n v="50"/>
    <s v="14-05-2018"/>
    <n v="49"/>
    <s v="-"/>
    <s v="-"/>
    <n v="93437"/>
    <n v="0"/>
    <x v="0"/>
    <x v="0"/>
    <x v="1"/>
  </r>
  <r>
    <n v="55"/>
    <n v="2"/>
    <x v="4"/>
    <n v="6503830090"/>
    <n v="4710"/>
    <x v="41"/>
    <x v="41"/>
    <n v="1"/>
    <x v="2"/>
    <n v="1"/>
    <s v="15-05-2018"/>
    <n v="1"/>
    <s v="-"/>
    <s v="-"/>
    <n v="0"/>
    <n v="0"/>
    <x v="1"/>
    <x v="0"/>
    <x v="1"/>
  </r>
  <r>
    <n v="55"/>
    <n v="2"/>
    <x v="6"/>
    <n v="776770"/>
    <n v="4043"/>
    <x v="36"/>
    <x v="36"/>
    <n v="1"/>
    <x v="3"/>
    <n v="1"/>
    <s v="05-04-2018"/>
    <n v="1"/>
    <s v="-"/>
    <s v="-"/>
    <n v="91669"/>
    <n v="0"/>
    <x v="0"/>
    <x v="0"/>
    <x v="0"/>
  </r>
  <r>
    <n v="55"/>
    <n v="2"/>
    <x v="6"/>
    <n v="812933"/>
    <n v="4563"/>
    <x v="42"/>
    <x v="42"/>
    <n v="1"/>
    <x v="0"/>
    <n v="1"/>
    <s v="09-05-2018"/>
    <n v="1"/>
    <s v="-"/>
    <s v="-"/>
    <n v="93391"/>
    <n v="0"/>
    <x v="0"/>
    <x v="0"/>
    <x v="1"/>
  </r>
  <r>
    <n v="55"/>
    <n v="2"/>
    <x v="6"/>
    <n v="814940"/>
    <n v="4563"/>
    <x v="43"/>
    <x v="43"/>
    <n v="1"/>
    <x v="0"/>
    <n v="1"/>
    <s v="09-05-2018"/>
    <n v="1"/>
    <s v="-"/>
    <s v="-"/>
    <n v="93390"/>
    <n v="0"/>
    <x v="0"/>
    <x v="0"/>
    <x v="1"/>
  </r>
  <r>
    <n v="55"/>
    <n v="2"/>
    <x v="6"/>
    <n v="816155"/>
    <n v="4595"/>
    <x v="36"/>
    <x v="36"/>
    <n v="1"/>
    <x v="0"/>
    <n v="1"/>
    <s v="09-05-2018"/>
    <n v="1"/>
    <s v="-"/>
    <s v="-"/>
    <n v="93389"/>
    <n v="0"/>
    <x v="0"/>
    <x v="0"/>
    <x v="1"/>
  </r>
  <r>
    <n v="55"/>
    <n v="2"/>
    <x v="6"/>
    <n v="820885"/>
    <n v="4661"/>
    <x v="30"/>
    <x v="30"/>
    <n v="1"/>
    <x v="2"/>
    <n v="1"/>
    <s v="15-05-2018"/>
    <n v="1"/>
    <s v="-"/>
    <s v="-"/>
    <n v="0"/>
    <n v="0"/>
    <x v="1"/>
    <x v="0"/>
    <x v="1"/>
  </r>
  <r>
    <n v="55"/>
    <n v="2"/>
    <x v="6"/>
    <n v="827219"/>
    <n v="4773"/>
    <x v="44"/>
    <x v="44"/>
    <n v="1"/>
    <x v="2"/>
    <n v="1"/>
    <s v="23-05-2018"/>
    <n v="1"/>
    <s v="-"/>
    <s v="-"/>
    <n v="0"/>
    <n v="0"/>
    <x v="1"/>
    <x v="0"/>
    <x v="1"/>
  </r>
  <r>
    <n v="55"/>
    <n v="2"/>
    <x v="7"/>
    <n v="430753"/>
    <n v="4208"/>
    <x v="45"/>
    <x v="45"/>
    <n v="15"/>
    <x v="4"/>
    <n v="8"/>
    <s v="17-04-2018"/>
    <n v="15"/>
    <s v="-"/>
    <s v="-"/>
    <n v="92422"/>
    <n v="0"/>
    <x v="0"/>
    <x v="0"/>
    <x v="0"/>
  </r>
  <r>
    <n v="55"/>
    <n v="2"/>
    <x v="8"/>
    <n v="1750537946"/>
    <n v="4141"/>
    <x v="19"/>
    <x v="19"/>
    <n v="1"/>
    <x v="0"/>
    <n v="1"/>
    <s v="12-04-2018"/>
    <n v="1"/>
    <s v="-"/>
    <s v="-"/>
    <n v="92090"/>
    <n v="0"/>
    <x v="0"/>
    <x v="0"/>
    <x v="0"/>
  </r>
  <r>
    <n v="55"/>
    <n v="2"/>
    <x v="8"/>
    <n v="1750538989"/>
    <n v="4555"/>
    <x v="46"/>
    <x v="46"/>
    <n v="20"/>
    <x v="4"/>
    <n v="20"/>
    <s v="09-05-2018"/>
    <n v="19"/>
    <s v="-"/>
    <s v="-"/>
    <n v="93384"/>
    <n v="0"/>
    <x v="0"/>
    <x v="0"/>
    <x v="1"/>
  </r>
  <r>
    <n v="55"/>
    <n v="2"/>
    <x v="8"/>
    <n v="4450422096"/>
    <n v="4395"/>
    <x v="47"/>
    <x v="47"/>
    <n v="46"/>
    <x v="2"/>
    <n v="46"/>
    <s v="27-04-2018"/>
    <n v="46"/>
    <s v="-"/>
    <s v="-"/>
    <n v="92958"/>
    <n v="0"/>
    <x v="1"/>
    <x v="0"/>
    <x v="0"/>
  </r>
  <r>
    <n v="55"/>
    <n v="2"/>
    <x v="8"/>
    <n v="4450422096"/>
    <n v="4395"/>
    <x v="48"/>
    <x v="48"/>
    <n v="31"/>
    <x v="2"/>
    <n v="26"/>
    <s v="27-04-2018"/>
    <n v="31"/>
    <s v="-"/>
    <s v="-"/>
    <n v="92958"/>
    <n v="0"/>
    <x v="1"/>
    <x v="0"/>
    <x v="0"/>
  </r>
  <r>
    <n v="55"/>
    <n v="2"/>
    <x v="8"/>
    <n v="4450422096"/>
    <n v="4395"/>
    <x v="49"/>
    <x v="49"/>
    <n v="26"/>
    <x v="2"/>
    <n v="31"/>
    <s v="27-04-2018"/>
    <n v="26"/>
    <s v="-"/>
    <s v="-"/>
    <n v="92958"/>
    <n v="0"/>
    <x v="1"/>
    <x v="0"/>
    <x v="0"/>
  </r>
  <r>
    <n v="55"/>
    <n v="2"/>
    <x v="8"/>
    <n v="8100460296"/>
    <n v="4766"/>
    <x v="50"/>
    <x v="50"/>
    <n v="33"/>
    <x v="9"/>
    <n v="4"/>
    <s v="23-05-2018"/>
    <n v="4"/>
    <s v="-"/>
    <s v="-"/>
    <n v="93699"/>
    <n v="0"/>
    <x v="0"/>
    <x v="0"/>
    <x v="1"/>
  </r>
  <r>
    <n v="55"/>
    <n v="2"/>
    <x v="8"/>
    <n v="8100460296"/>
    <n v="4766"/>
    <x v="51"/>
    <x v="51"/>
    <n v="205"/>
    <x v="9"/>
    <n v="5"/>
    <s v="23-05-2018"/>
    <n v="90"/>
    <s v="-"/>
    <s v="-"/>
    <n v="93699"/>
    <n v="0"/>
    <x v="0"/>
    <x v="0"/>
    <x v="1"/>
  </r>
  <r>
    <n v="55"/>
    <n v="2"/>
    <x v="8"/>
    <n v="8100460296"/>
    <n v="4766"/>
    <x v="45"/>
    <x v="45"/>
    <n v="10"/>
    <x v="9"/>
    <n v="90"/>
    <s v="23-05-2018"/>
    <n v="7"/>
    <s v="-"/>
    <s v="-"/>
    <n v="93699"/>
    <n v="0"/>
    <x v="0"/>
    <x v="0"/>
    <x v="1"/>
  </r>
  <r>
    <n v="55"/>
    <n v="2"/>
    <x v="5"/>
    <n v="9103852"/>
    <n v="4047"/>
    <x v="13"/>
    <x v="13"/>
    <n v="1"/>
    <x v="1"/>
    <n v="1"/>
    <s v="17-04-2018"/>
    <n v="1"/>
    <s v="-"/>
    <s v="-"/>
    <n v="92029"/>
    <n v="0"/>
    <x v="0"/>
    <x v="0"/>
    <x v="0"/>
  </r>
  <r>
    <n v="55"/>
    <n v="2"/>
    <x v="5"/>
    <n v="9104498"/>
    <n v="4047"/>
    <x v="52"/>
    <x v="52"/>
    <n v="1"/>
    <x v="2"/>
    <n v="1"/>
    <s v="25-04-2018"/>
    <n v="1"/>
    <s v="-"/>
    <s v="-"/>
    <n v="0"/>
    <n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MOTIVOS" cacheId="9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compact="0" compactData="0" multipleFieldFilters="0" chartFormat="50" rowHeaderCaption="MOTIVO DEVOLUCION">
  <location ref="C38:D48" firstHeaderRow="1" firstDataRow="1" firstDataCol="1"/>
  <pivotFields count="1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MOTIVOS" axis="axisRow" compact="0" outline="0" showAll="0" sortType="descending" defaultSubtotal="0">
      <items count="20">
        <item x="5"/>
        <item x="2"/>
        <item m="1" x="11"/>
        <item x="4"/>
        <item m="1" x="16"/>
        <item x="3"/>
        <item x="6"/>
        <item x="1"/>
        <item m="1" x="19"/>
        <item m="1" x="15"/>
        <item m="1" x="12"/>
        <item x="7"/>
        <item m="1" x="13"/>
        <item x="0"/>
        <item x="9"/>
        <item m="1" x="17"/>
        <item m="1" x="14"/>
        <item x="8"/>
        <item m="1" x="18"/>
        <item m="1"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3">
        <item x="1"/>
        <item x="0"/>
        <item m="1" x="2"/>
      </items>
    </pivotField>
    <pivotField compact="0" outline="0" showAll="0">
      <items count="3">
        <item m="1" x="1"/>
        <item x="0"/>
        <item t="default"/>
      </items>
    </pivotField>
    <pivotField compact="0" outline="0" showAll="0">
      <items count="13">
        <item h="1" m="1" x="10"/>
        <item h="1" m="1" x="8"/>
        <item h="1" m="1" x="4"/>
        <item x="0"/>
        <item x="1"/>
        <item h="1" m="1" x="11"/>
        <item h="1" m="1" x="7"/>
        <item h="1" m="1" x="3"/>
        <item h="1" m="1" x="5"/>
        <item h="1" m="1" x="6"/>
        <item h="1" m="1" x="9"/>
        <item h="1" m="1" x="2"/>
        <item t="default"/>
      </items>
    </pivotField>
  </pivotFields>
  <rowFields count="1">
    <field x="8"/>
  </rowFields>
  <rowItems count="10">
    <i>
      <x v="7"/>
    </i>
    <i>
      <x v="1"/>
    </i>
    <i>
      <x v="3"/>
    </i>
    <i>
      <x v="11"/>
    </i>
    <i>
      <x v="13"/>
    </i>
    <i>
      <x v="14"/>
    </i>
    <i>
      <x v="17"/>
    </i>
    <i>
      <x v="5"/>
    </i>
    <i>
      <x v="6"/>
    </i>
    <i>
      <x/>
    </i>
  </rowItems>
  <colItems count="1">
    <i/>
  </colItems>
  <dataFields count="1">
    <dataField name="TOTAL DEVOLUCION" fld="11" subtotal="count" baseField="8" baseItem="0"/>
  </dataFields>
  <formats count="1">
    <format dxfId="0">
      <pivotArea outline="0" collapsedLevelsAreSubtotals="1" fieldPosition="0"/>
    </format>
  </formats>
  <pivotTableStyleInfo name="Estilo de tabla diná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_CantidadMensual" cacheId="9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compact="0" compactData="0" multipleFieldFilters="0" chartFormat="47" rowHeaderCaption="CLIENTE">
  <location ref="G1:I18" firstHeaderRow="1" firstDataRow="1" firstDataCol="2"/>
  <pivotFields count="19">
    <pivotField compact="0" outline="0" showAll="0"/>
    <pivotField compact="0" outline="0" showAll="0"/>
    <pivotField name="CLIENTES" axis="axisRow" compact="0" outline="0" showAll="0" defaultSubtotal="0">
      <items count="10">
        <item x="7"/>
        <item x="4"/>
        <item x="3"/>
        <item x="2"/>
        <item x="1"/>
        <item x="8"/>
        <item x="6"/>
        <item x="0"/>
        <item x="5"/>
        <item m="1" x="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3">
        <item x="1"/>
        <item x="0"/>
        <item m="1" x="2"/>
      </items>
    </pivotField>
    <pivotField compact="0" outline="0" showAll="0">
      <items count="3">
        <item m="1" x="1"/>
        <item x="0"/>
        <item t="default"/>
      </items>
    </pivotField>
    <pivotField axis="axisRow" compact="0" outline="0" multipleItemSelectionAllowed="1" showAll="0" defaultSubtotal="0">
      <items count="12">
        <item h="1" m="1" x="10"/>
        <item h="1" m="1" x="8"/>
        <item h="1" m="1" x="4"/>
        <item x="0"/>
        <item x="1"/>
        <item h="1" m="1" x="11"/>
        <item h="1" m="1" x="7"/>
        <item h="1" m="1" x="3"/>
        <item h="1" m="1" x="5"/>
        <item h="1" m="1" x="6"/>
        <item h="1" m="1" x="9"/>
        <item h="1" m="1" x="2"/>
      </items>
    </pivotField>
  </pivotFields>
  <rowFields count="2">
    <field x="18"/>
    <field x="2"/>
  </rowFields>
  <rowItems count="17"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Items count="1">
    <i/>
  </colItems>
  <dataFields count="1">
    <dataField name="TOTAL DEVOLUCION" fld="11" subtotal="count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TOTALCLIENTES" cacheId="9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outline="1" outlineData="1" multipleFieldFilters="0" chartFormat="42" rowHeaderCaption="CLIENTE">
  <location ref="A1:B10" firstHeaderRow="1" firstDataRow="1" firstDataCol="1"/>
  <pivotFields count="19">
    <pivotField showAll="0"/>
    <pivotField showAll="0"/>
    <pivotField axis="axisRow" showAll="0">
      <items count="11">
        <item x="7"/>
        <item x="4"/>
        <item x="3"/>
        <item x="2"/>
        <item x="1"/>
        <item x="8"/>
        <item x="6"/>
        <item x="0"/>
        <item x="5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>
      <items count="3">
        <item x="1"/>
        <item x="0"/>
        <item m="1" x="2"/>
      </items>
    </pivotField>
    <pivotField showAll="0">
      <items count="3">
        <item m="1" x="1"/>
        <item x="0"/>
        <item t="default"/>
      </items>
    </pivotField>
    <pivotField showAll="0">
      <items count="13">
        <item h="1" m="1" x="10"/>
        <item h="1" m="1" x="8"/>
        <item h="1" m="1" x="4"/>
        <item x="0"/>
        <item x="1"/>
        <item h="1" m="1" x="11"/>
        <item h="1" m="1" x="7"/>
        <item h="1" m="1" x="3"/>
        <item h="1" m="1" x="5"/>
        <item h="1" m="1" x="6"/>
        <item h="1" m="1" x="9"/>
        <item h="1" m="1" x="2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TOTAL DEVOLUCION" fld="11" subtotal="count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CANTIDAD_MENSUAL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 chartFormat="16">
  <location ref="A1:D18" firstHeaderRow="1" firstDataRow="1" firstDataCol="3"/>
  <pivotFields count="19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CODIGO" axis="axisRow" compact="0" outline="0" showAll="0" measureFilter="1" sortType="descending" defaultSubtotal="0">
      <items count="119">
        <item x="13"/>
        <item m="1" x="109"/>
        <item x="15"/>
        <item x="5"/>
        <item m="1" x="86"/>
        <item x="30"/>
        <item m="1" x="54"/>
        <item m="1" x="72"/>
        <item m="1" x="71"/>
        <item x="43"/>
        <item m="1" x="61"/>
        <item m="1" x="106"/>
        <item m="1" x="78"/>
        <item m="1" x="90"/>
        <item x="40"/>
        <item m="1" x="59"/>
        <item x="37"/>
        <item m="1" x="55"/>
        <item m="1" x="57"/>
        <item x="41"/>
        <item m="1" x="64"/>
        <item x="35"/>
        <item m="1" x="104"/>
        <item x="34"/>
        <item m="1" x="95"/>
        <item m="1" x="103"/>
        <item m="1" x="87"/>
        <item x="25"/>
        <item m="1" x="56"/>
        <item x="50"/>
        <item m="1" x="94"/>
        <item m="1" x="75"/>
        <item m="1" x="73"/>
        <item x="11"/>
        <item m="1" x="97"/>
        <item x="33"/>
        <item m="1" x="84"/>
        <item m="1" x="77"/>
        <item x="17"/>
        <item m="1" x="99"/>
        <item x="52"/>
        <item m="1" x="101"/>
        <item m="1" x="62"/>
        <item x="38"/>
        <item x="24"/>
        <item x="47"/>
        <item x="0"/>
        <item x="6"/>
        <item m="1" x="85"/>
        <item m="1" x="108"/>
        <item x="42"/>
        <item m="1" x="107"/>
        <item x="1"/>
        <item m="1" x="118"/>
        <item x="26"/>
        <item x="19"/>
        <item m="1" x="116"/>
        <item x="14"/>
        <item x="18"/>
        <item m="1" x="105"/>
        <item m="1" x="91"/>
        <item x="51"/>
        <item x="45"/>
        <item m="1" x="76"/>
        <item m="1" x="115"/>
        <item m="1" x="82"/>
        <item x="16"/>
        <item x="28"/>
        <item m="1" x="110"/>
        <item m="1" x="114"/>
        <item x="31"/>
        <item m="1" x="74"/>
        <item m="1" x="80"/>
        <item x="10"/>
        <item x="32"/>
        <item x="8"/>
        <item x="23"/>
        <item m="1" x="93"/>
        <item x="12"/>
        <item x="9"/>
        <item x="2"/>
        <item x="7"/>
        <item m="1" x="117"/>
        <item x="39"/>
        <item m="1" x="60"/>
        <item x="44"/>
        <item m="1" x="92"/>
        <item m="1" x="70"/>
        <item m="1" x="113"/>
        <item m="1" x="89"/>
        <item m="1" x="69"/>
        <item m="1" x="112"/>
        <item m="1" x="96"/>
        <item m="1" x="100"/>
        <item m="1" x="83"/>
        <item m="1" x="88"/>
        <item m="1" x="68"/>
        <item m="1" x="111"/>
        <item x="21"/>
        <item x="4"/>
        <item x="3"/>
        <item m="1" x="81"/>
        <item m="1" x="102"/>
        <item x="20"/>
        <item x="36"/>
        <item m="1" x="98"/>
        <item m="1" x="79"/>
        <item x="22"/>
        <item m="1" x="65"/>
        <item m="1" x="63"/>
        <item x="29"/>
        <item m="1" x="67"/>
        <item m="1" x="66"/>
        <item x="48"/>
        <item x="49"/>
        <item x="46"/>
        <item m="1" x="58"/>
        <item x="27"/>
        <item m="1" x="5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ame="DESCRIPCION" axis="axisRow" compact="0" outline="0" showAll="0">
      <items count="122">
        <item m="1" x="76"/>
        <item m="1" x="104"/>
        <item x="11"/>
        <item m="1" x="98"/>
        <item m="1" x="67"/>
        <item x="31"/>
        <item x="43"/>
        <item x="13"/>
        <item m="1" x="99"/>
        <item m="1" x="61"/>
        <item x="7"/>
        <item x="46"/>
        <item m="1" x="107"/>
        <item x="39"/>
        <item m="1" x="117"/>
        <item m="1" x="68"/>
        <item m="1" x="105"/>
        <item x="12"/>
        <item m="1" x="63"/>
        <item x="37"/>
        <item m="1" x="88"/>
        <item x="9"/>
        <item x="17"/>
        <item x="52"/>
        <item m="1" x="110"/>
        <item x="16"/>
        <item x="33"/>
        <item m="1" x="89"/>
        <item m="1" x="80"/>
        <item x="40"/>
        <item x="22"/>
        <item m="1" x="65"/>
        <item m="1" x="103"/>
        <item x="29"/>
        <item m="1" x="82"/>
        <item m="1" x="96"/>
        <item m="1" x="87"/>
        <item m="1" x="106"/>
        <item x="4"/>
        <item x="3"/>
        <item x="48"/>
        <item m="1" x="95"/>
        <item x="51"/>
        <item m="1" x="97"/>
        <item m="1" x="114"/>
        <item m="1" x="102"/>
        <item x="34"/>
        <item x="35"/>
        <item m="1" x="86"/>
        <item x="30"/>
        <item m="1" x="120"/>
        <item x="5"/>
        <item x="8"/>
        <item m="1" x="54"/>
        <item x="10"/>
        <item m="1" x="113"/>
        <item x="14"/>
        <item x="15"/>
        <item m="1" x="116"/>
        <item m="1" x="100"/>
        <item m="1" x="77"/>
        <item m="1" x="90"/>
        <item m="1" x="92"/>
        <item m="1" x="112"/>
        <item m="1" x="93"/>
        <item m="1" x="55"/>
        <item m="1" x="73"/>
        <item m="1" x="119"/>
        <item x="32"/>
        <item x="45"/>
        <item x="25"/>
        <item x="21"/>
        <item m="1" x="71"/>
        <item m="1" x="66"/>
        <item m="1" x="84"/>
        <item x="1"/>
        <item m="1" x="108"/>
        <item m="1" x="70"/>
        <item x="41"/>
        <item m="1" x="115"/>
        <item m="1" x="109"/>
        <item m="1" x="75"/>
        <item m="1" x="111"/>
        <item m="1" x="58"/>
        <item m="1" x="85"/>
        <item m="1" x="62"/>
        <item x="50"/>
        <item m="1" x="56"/>
        <item m="1" x="94"/>
        <item m="1" x="83"/>
        <item x="38"/>
        <item m="1" x="78"/>
        <item x="42"/>
        <item x="2"/>
        <item m="1" x="91"/>
        <item m="1" x="64"/>
        <item x="6"/>
        <item x="18"/>
        <item x="0"/>
        <item m="1" x="57"/>
        <item x="49"/>
        <item m="1" x="72"/>
        <item x="23"/>
        <item x="24"/>
        <item m="1" x="81"/>
        <item x="47"/>
        <item x="44"/>
        <item m="1" x="60"/>
        <item x="19"/>
        <item m="1" x="74"/>
        <item m="1" x="79"/>
        <item x="36"/>
        <item x="26"/>
        <item x="20"/>
        <item m="1" x="69"/>
        <item x="27"/>
        <item m="1" x="118"/>
        <item x="28"/>
        <item m="1" x="101"/>
        <item m="1" x="59"/>
        <item m="1" x="5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4">
        <item x="1"/>
        <item x="0"/>
        <item m="1" x="2"/>
        <item t="default"/>
      </items>
    </pivotField>
    <pivotField compact="0" outline="0" showAll="0">
      <items count="3">
        <item m="1" x="1"/>
        <item x="0"/>
        <item t="default"/>
      </items>
    </pivotField>
    <pivotField axis="axisRow" compact="0" outline="0" showAll="0">
      <items count="13">
        <item h="1" m="1" x="10"/>
        <item h="1" m="1" x="8"/>
        <item h="1" m="1" x="4"/>
        <item x="0"/>
        <item x="1"/>
        <item h="1" m="1" x="11"/>
        <item h="1" m="1" x="7"/>
        <item h="1" m="1" x="3"/>
        <item h="1" m="1" x="5"/>
        <item h="1" m="1" x="6"/>
        <item h="1" m="1" x="9"/>
        <item h="1" m="1" x="2"/>
        <item t="default"/>
      </items>
    </pivotField>
  </pivotFields>
  <rowFields count="3">
    <field x="18"/>
    <field x="5"/>
    <field x="6"/>
  </rowFields>
  <rowItems count="17">
    <i>
      <x v="3"/>
      <x v="107"/>
      <x v="30"/>
    </i>
    <i r="1">
      <x v="67"/>
      <x v="117"/>
    </i>
    <i r="1">
      <x v="117"/>
      <x v="115"/>
    </i>
    <i r="1">
      <x v="46"/>
      <x v="98"/>
    </i>
    <i r="1">
      <x v="45"/>
      <x v="105"/>
    </i>
    <i r="1">
      <x v="113"/>
      <x v="40"/>
    </i>
    <i r="1">
      <x v="114"/>
      <x v="100"/>
    </i>
    <i r="1">
      <x v="62"/>
      <x v="69"/>
    </i>
    <i r="1">
      <x v="80"/>
      <x v="93"/>
    </i>
    <i t="default">
      <x v="3"/>
    </i>
    <i>
      <x v="4"/>
      <x v="61"/>
      <x v="42"/>
    </i>
    <i r="1">
      <x v="14"/>
      <x v="29"/>
    </i>
    <i r="1">
      <x v="52"/>
      <x v="75"/>
    </i>
    <i r="1">
      <x v="115"/>
      <x v="11"/>
    </i>
    <i r="1">
      <x v="62"/>
      <x v="69"/>
    </i>
    <i t="default">
      <x v="4"/>
    </i>
    <i t="grand">
      <x/>
    </i>
  </rowItems>
  <colItems count="1">
    <i/>
  </colItems>
  <dataFields count="1">
    <dataField name="CANTIDAD" fld="11" baseField="6" baseItem="98" numFmtId="3"/>
  </dataFields>
  <chartFormats count="1"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valueGreaterThanOrEqual" evalOrder="-1" id="1" iMeasureFld="0">
      <autoFilter ref="A1">
        <filterColumn colId="0">
          <customFilters>
            <customFilter operator="greaterThanOrEqual" val="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192.168.1.8_POSEIDONSQL APPFVT_01 SQLDevolucionesConMotivo_1" connectionId="1" autoFormatId="16" applyNumberFormats="0" applyBorderFormats="0" applyFontFormats="0" applyPatternFormats="0" applyAlignmentFormats="0" applyWidthHeightFormats="0">
  <queryTableRefresh nextId="20" unboundColumnsRight="2">
    <queryTableFields count="19">
      <queryTableField id="1" name="usu_codigo" tableColumnId="1"/>
      <queryTableField id="2" name="inf_tipoInforme" tableColumnId="2"/>
      <queryTableField id="3" name="car_nombre" tableColumnId="3"/>
      <queryTableField id="4" name="con_ocnumero" tableColumnId="4"/>
      <queryTableField id="5" name="pic_codigo" tableColumnId="5"/>
      <queryTableField id="6" name="pro_codigointerno" tableColumnId="6"/>
      <queryTableField id="7" name="pro_nombre" tableColumnId="7"/>
      <queryTableField id="8" name="cant_pedida" tableColumnId="8"/>
      <queryTableField id="9" name="tdv_nombre" tableColumnId="9"/>
      <queryTableField id="10" name="cant_entrega" tableColumnId="10"/>
      <queryTableField id="11" name="dev_fecha" tableColumnId="11"/>
      <queryTableField id="12" name="dev_cantidad" tableColumnId="12"/>
      <queryTableField id="13" name="are_nombre" tableColumnId="13"/>
      <queryTableField id="14" name="glo_nombre" tableColumnId="14"/>
      <queryTableField id="15" name="dev_nfactura" tableColumnId="15"/>
      <queryTableField id="16" name="dev_nguia" tableColumnId="16"/>
      <queryTableField id="19" name="dev_origen" tableColumnId="19"/>
      <queryTableField id="17" dataBound="0" tableColumnId="17"/>
      <queryTableField id="18" dataBound="0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" sourceName="AÑO">
  <pivotTables>
    <pivotTable tabId="4" name="TD_TOTALCLIENTES"/>
    <pivotTable tabId="2" name="TD_MOTIVOS"/>
    <pivotTable tabId="4" name="TD_CantidadMensual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" sourceName="MES">
  <pivotTables>
    <pivotTable tabId="4" name="TD_TOTALCLIENTES"/>
    <pivotTable tabId="2" name="TD_MOTIVOS"/>
    <pivotTable tabId="4" name="TD_CantidadMensual"/>
  </pivotTables>
  <data>
    <tabular pivotCacheId="1">
      <items count="12">
        <i x="0" s="1"/>
        <i x="1" s="1"/>
        <i x="10" nd="1"/>
        <i x="8" nd="1"/>
        <i x="4" nd="1"/>
        <i x="11" nd="1"/>
        <i x="7" nd="1"/>
        <i x="3" nd="1"/>
        <i x="5" nd="1"/>
        <i x="6" nd="1"/>
        <i x="9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v_origen" sourceName="dev_origen">
  <pivotTables>
    <pivotTable tabId="4" name="TD_TOTALCLIENTES"/>
    <pivotTable tabId="2" name="TD_MOTIVOS"/>
    <pivotTable tabId="4" name="TD_CantidadMensual"/>
  </pivotTables>
  <data>
    <tabular pivotCacheId="1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v_origen1" sourceName="dev_origen">
  <pivotTables>
    <pivotTable tabId="6" name="TD_CANTIDAD_MENSUAL"/>
  </pivotTables>
  <data>
    <tabular pivotCacheId="1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1" sourceName="AÑO">
  <pivotTables>
    <pivotTable tabId="6" name="TD_CANTIDAD_MENSUAL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1" sourceName="MES">
  <pivotTables>
    <pivotTable tabId="6" name="TD_CANTIDAD_MENSUAL"/>
  </pivotTables>
  <data>
    <tabular pivotCacheId="1">
      <items count="12">
        <i x="0" s="1"/>
        <i x="1" s="1"/>
        <i x="10" nd="1"/>
        <i x="8" nd="1"/>
        <i x="4" nd="1"/>
        <i x="11" nd="1"/>
        <i x="7" nd="1"/>
        <i x="3" nd="1"/>
        <i x="5" nd="1"/>
        <i x="6" nd="1"/>
        <i x="9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" cache="SegmentaciónDeDatos_AÑO" caption="AÑO" style="Estilo de segmentación de datos 1" rowHeight="241300"/>
  <slicer name="MES" cache="SegmentaciónDeDatos_MES" caption="MES" rowHeight="241300"/>
  <slicer name="dev_origen" cache="SegmentaciónDeDatos_dev_origen" caption="TIPO DEVOLUCION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ev_origen 1" cache="SegmentaciónDeDatos_dev_origen1" caption="TIPO DEVOLUCION" rowHeight="241300"/>
  <slicer name="AÑO 1" cache="SegmentaciónDeDatos_AÑO1" caption="AÑO" style="Estilo de segmentación de datos 1" rowHeight="241300"/>
  <slicer name="MES 1" cache="SegmentaciónDeDatos_MES1" caption="MES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a__192.168.1.8_POSEIDONSQL_APPFVT_01_SQLDevolucionesConMotivo_1" displayName="Tabla__192.168.1.8_POSEIDONSQL_APPFVT_01_SQLDevolucionesConMotivo_1" ref="A1:S95" tableType="queryTable" totalsRowShown="0">
  <autoFilter ref="A1:S95"/>
  <tableColumns count="19">
    <tableColumn id="1" uniqueName="1" name="usu_codigo" queryTableFieldId="1"/>
    <tableColumn id="2" uniqueName="2" name="inf_tipoInforme" queryTableFieldId="2"/>
    <tableColumn id="3" uniqueName="3" name="car_nombre" queryTableFieldId="3"/>
    <tableColumn id="4" uniqueName="4" name="con_ocnumero" queryTableFieldId="4"/>
    <tableColumn id="5" uniqueName="5" name="pic_codigo" queryTableFieldId="5"/>
    <tableColumn id="6" uniqueName="6" name="pro_codigointerno" queryTableFieldId="6"/>
    <tableColumn id="7" uniqueName="7" name="pro_nombre" queryTableFieldId="7"/>
    <tableColumn id="8" uniqueName="8" name="cant_pedida" queryTableFieldId="8"/>
    <tableColumn id="9" uniqueName="9" name="tdv_nombre" queryTableFieldId="9"/>
    <tableColumn id="10" uniqueName="10" name="cant_entrega" queryTableFieldId="10"/>
    <tableColumn id="11" uniqueName="11" name="dev_fecha" queryTableFieldId="11"/>
    <tableColumn id="12" uniqueName="12" name="dev_cantidad" queryTableFieldId="12"/>
    <tableColumn id="13" uniqueName="13" name="are_nombre" queryTableFieldId="13"/>
    <tableColumn id="14" uniqueName="14" name="glo_nombre" queryTableFieldId="14"/>
    <tableColumn id="15" uniqueName="15" name="dev_nfactura" queryTableFieldId="15"/>
    <tableColumn id="16" uniqueName="16" name="dev_nguia" queryTableFieldId="16"/>
    <tableColumn id="19" uniqueName="19" name="dev_origen" queryTableFieldId="19"/>
    <tableColumn id="17" uniqueName="17" name="AÑO" queryTableFieldId="17">
      <calculatedColumnFormula>+YEAR(Tabla__192.168.1.8_POSEIDONSQL_APPFVT_01_SQLDevolucionesConMotivo_1[[#This Row],[dev_fecha]])</calculatedColumnFormula>
    </tableColumn>
    <tableColumn id="18" uniqueName="18" name="MES" queryTableFieldId="18">
      <calculatedColumnFormula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95"/>
  <sheetViews>
    <sheetView zoomScale="80" zoomScaleNormal="80" workbookViewId="0">
      <selection activeCell="D2" sqref="D2"/>
    </sheetView>
  </sheetViews>
  <sheetFormatPr baseColWidth="10" defaultRowHeight="15" x14ac:dyDescent="0.25"/>
  <cols>
    <col min="1" max="1" width="13.85546875" bestFit="1" customWidth="1"/>
    <col min="2" max="2" width="17.85546875" bestFit="1" customWidth="1"/>
    <col min="3" max="3" width="22" bestFit="1" customWidth="1"/>
    <col min="4" max="4" width="17" bestFit="1" customWidth="1"/>
    <col min="5" max="5" width="13.42578125" bestFit="1" customWidth="1"/>
    <col min="6" max="6" width="20" bestFit="1" customWidth="1"/>
    <col min="7" max="7" width="48" customWidth="1"/>
    <col min="8" max="8" width="14.85546875" bestFit="1" customWidth="1"/>
    <col min="9" max="9" width="52.28515625" bestFit="1" customWidth="1"/>
    <col min="10" max="10" width="15.7109375" bestFit="1" customWidth="1"/>
    <col min="11" max="11" width="13.140625" bestFit="1" customWidth="1"/>
    <col min="12" max="12" width="15.85546875" bestFit="1" customWidth="1"/>
    <col min="13" max="13" width="14.85546875" bestFit="1" customWidth="1"/>
    <col min="14" max="14" width="14.5703125" bestFit="1" customWidth="1"/>
    <col min="15" max="15" width="15.7109375" customWidth="1"/>
    <col min="16" max="16" width="13.140625" customWidth="1"/>
    <col min="17" max="17" width="13.85546875" customWidth="1"/>
    <col min="18" max="18" width="8.140625" bestFit="1" customWidth="1"/>
    <col min="19" max="19" width="8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21</v>
      </c>
      <c r="R1" t="s">
        <v>16</v>
      </c>
      <c r="S1" t="s">
        <v>17</v>
      </c>
    </row>
    <row r="2" spans="1:19" x14ac:dyDescent="0.25">
      <c r="A2">
        <v>55</v>
      </c>
      <c r="B2">
        <v>2</v>
      </c>
      <c r="C2" t="s">
        <v>150</v>
      </c>
      <c r="D2">
        <v>8397139</v>
      </c>
      <c r="E2">
        <v>4008</v>
      </c>
      <c r="F2" t="s">
        <v>151</v>
      </c>
      <c r="G2" t="s">
        <v>152</v>
      </c>
      <c r="H2">
        <v>57</v>
      </c>
      <c r="I2" t="s">
        <v>114</v>
      </c>
      <c r="J2">
        <v>57</v>
      </c>
      <c r="K2" t="s">
        <v>45</v>
      </c>
      <c r="L2">
        <v>57</v>
      </c>
      <c r="M2" t="s">
        <v>30</v>
      </c>
      <c r="N2" t="s">
        <v>30</v>
      </c>
      <c r="O2">
        <v>0</v>
      </c>
      <c r="P2">
        <v>14283</v>
      </c>
      <c r="Q2" t="s">
        <v>31</v>
      </c>
      <c r="R2">
        <f>+YEAR(Tabla__192.168.1.8_POSEIDONSQL_APPFVT_01_SQLDevolucionesConMotivo_1[[#This Row],[dev_fecha]])</f>
        <v>2018</v>
      </c>
      <c r="S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" spans="1:19" x14ac:dyDescent="0.25">
      <c r="A3">
        <v>55</v>
      </c>
      <c r="B3">
        <v>2</v>
      </c>
      <c r="C3" t="s">
        <v>150</v>
      </c>
      <c r="D3">
        <v>8454485</v>
      </c>
      <c r="E3">
        <v>4527</v>
      </c>
      <c r="F3" t="s">
        <v>153</v>
      </c>
      <c r="G3" t="s">
        <v>154</v>
      </c>
      <c r="H3">
        <v>42</v>
      </c>
      <c r="I3" t="s">
        <v>29</v>
      </c>
      <c r="J3">
        <v>84</v>
      </c>
      <c r="K3" t="s">
        <v>155</v>
      </c>
      <c r="L3">
        <v>42</v>
      </c>
      <c r="M3" t="s">
        <v>30</v>
      </c>
      <c r="N3" t="s">
        <v>30</v>
      </c>
      <c r="O3">
        <v>0</v>
      </c>
      <c r="P3">
        <v>14586</v>
      </c>
      <c r="Q3" t="s">
        <v>31</v>
      </c>
      <c r="R3">
        <f>+YEAR(Tabla__192.168.1.8_POSEIDONSQL_APPFVT_01_SQLDevolucionesConMotivo_1[[#This Row],[dev_fecha]])</f>
        <v>2018</v>
      </c>
      <c r="S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" spans="1:19" x14ac:dyDescent="0.25">
      <c r="A4">
        <v>55</v>
      </c>
      <c r="B4">
        <v>2</v>
      </c>
      <c r="C4" t="s">
        <v>156</v>
      </c>
      <c r="D4">
        <v>8390019</v>
      </c>
      <c r="E4">
        <v>4101</v>
      </c>
      <c r="F4" t="s">
        <v>157</v>
      </c>
      <c r="G4" t="s">
        <v>158</v>
      </c>
      <c r="H4">
        <v>2</v>
      </c>
      <c r="I4" t="s">
        <v>114</v>
      </c>
      <c r="J4">
        <v>14</v>
      </c>
      <c r="K4" t="s">
        <v>159</v>
      </c>
      <c r="L4">
        <v>7</v>
      </c>
      <c r="M4" t="s">
        <v>30</v>
      </c>
      <c r="N4" t="s">
        <v>30</v>
      </c>
      <c r="O4">
        <v>0</v>
      </c>
      <c r="P4">
        <v>3606</v>
      </c>
      <c r="Q4" t="s">
        <v>31</v>
      </c>
      <c r="R4">
        <f>+YEAR(Tabla__192.168.1.8_POSEIDONSQL_APPFVT_01_SQLDevolucionesConMotivo_1[[#This Row],[dev_fecha]])</f>
        <v>2018</v>
      </c>
      <c r="S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" spans="1:19" x14ac:dyDescent="0.25">
      <c r="A5">
        <v>55</v>
      </c>
      <c r="B5">
        <v>2</v>
      </c>
      <c r="C5" t="s">
        <v>156</v>
      </c>
      <c r="D5">
        <v>8440442</v>
      </c>
      <c r="E5">
        <v>4376</v>
      </c>
      <c r="F5" t="s">
        <v>137</v>
      </c>
      <c r="G5" t="s">
        <v>138</v>
      </c>
      <c r="H5">
        <v>1</v>
      </c>
      <c r="I5" t="s">
        <v>33</v>
      </c>
      <c r="J5">
        <v>1</v>
      </c>
      <c r="K5" t="s">
        <v>103</v>
      </c>
      <c r="L5">
        <v>1</v>
      </c>
      <c r="M5" t="s">
        <v>30</v>
      </c>
      <c r="N5" t="s">
        <v>30</v>
      </c>
      <c r="O5">
        <v>0</v>
      </c>
      <c r="P5">
        <v>0</v>
      </c>
      <c r="Q5" t="s">
        <v>34</v>
      </c>
      <c r="R5">
        <f>+YEAR(Tabla__192.168.1.8_POSEIDONSQL_APPFVT_01_SQLDevolucionesConMotivo_1[[#This Row],[dev_fecha]])</f>
        <v>2018</v>
      </c>
      <c r="S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" spans="1:19" x14ac:dyDescent="0.25">
      <c r="A6">
        <v>55</v>
      </c>
      <c r="B6">
        <v>2</v>
      </c>
      <c r="C6" t="s">
        <v>156</v>
      </c>
      <c r="D6">
        <v>8452851</v>
      </c>
      <c r="E6">
        <v>4508</v>
      </c>
      <c r="F6" t="s">
        <v>160</v>
      </c>
      <c r="G6" t="s">
        <v>161</v>
      </c>
      <c r="H6">
        <v>1</v>
      </c>
      <c r="I6" t="s">
        <v>29</v>
      </c>
      <c r="J6">
        <v>1</v>
      </c>
      <c r="K6" t="s">
        <v>162</v>
      </c>
      <c r="L6">
        <v>1</v>
      </c>
      <c r="M6" t="s">
        <v>30</v>
      </c>
      <c r="N6" t="s">
        <v>30</v>
      </c>
      <c r="O6">
        <v>0</v>
      </c>
      <c r="P6">
        <v>4023</v>
      </c>
      <c r="Q6" t="s">
        <v>31</v>
      </c>
      <c r="R6">
        <f>+YEAR(Tabla__192.168.1.8_POSEIDONSQL_APPFVT_01_SQLDevolucionesConMotivo_1[[#This Row],[dev_fecha]])</f>
        <v>2018</v>
      </c>
      <c r="S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7" spans="1:19" x14ac:dyDescent="0.25">
      <c r="A7">
        <v>55</v>
      </c>
      <c r="B7">
        <v>2</v>
      </c>
      <c r="C7" t="s">
        <v>156</v>
      </c>
      <c r="D7">
        <v>8456471</v>
      </c>
      <c r="E7">
        <v>4550</v>
      </c>
      <c r="F7" t="s">
        <v>78</v>
      </c>
      <c r="G7" t="s">
        <v>79</v>
      </c>
      <c r="H7">
        <v>1</v>
      </c>
      <c r="I7" t="s">
        <v>29</v>
      </c>
      <c r="J7">
        <v>1</v>
      </c>
      <c r="K7" t="s">
        <v>162</v>
      </c>
      <c r="L7">
        <v>1</v>
      </c>
      <c r="M7" t="s">
        <v>30</v>
      </c>
      <c r="N7" t="s">
        <v>30</v>
      </c>
      <c r="O7">
        <v>0</v>
      </c>
      <c r="P7">
        <v>4035</v>
      </c>
      <c r="Q7" t="s">
        <v>31</v>
      </c>
      <c r="R7">
        <f>+YEAR(Tabla__192.168.1.8_POSEIDONSQL_APPFVT_01_SQLDevolucionesConMotivo_1[[#This Row],[dev_fecha]])</f>
        <v>2018</v>
      </c>
      <c r="S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" spans="1:19" x14ac:dyDescent="0.25">
      <c r="A8">
        <v>55</v>
      </c>
      <c r="B8">
        <v>2</v>
      </c>
      <c r="C8" t="s">
        <v>156</v>
      </c>
      <c r="D8">
        <v>8474540</v>
      </c>
      <c r="E8">
        <v>4689</v>
      </c>
      <c r="F8" t="s">
        <v>163</v>
      </c>
      <c r="G8" t="s">
        <v>164</v>
      </c>
      <c r="H8">
        <v>1</v>
      </c>
      <c r="I8" t="s">
        <v>29</v>
      </c>
      <c r="J8">
        <v>1</v>
      </c>
      <c r="K8" t="s">
        <v>165</v>
      </c>
      <c r="L8">
        <v>1</v>
      </c>
      <c r="M8" t="s">
        <v>30</v>
      </c>
      <c r="N8" t="s">
        <v>30</v>
      </c>
      <c r="O8">
        <v>0</v>
      </c>
      <c r="P8">
        <v>4119</v>
      </c>
      <c r="Q8" t="s">
        <v>31</v>
      </c>
      <c r="R8">
        <f>+YEAR(Tabla__192.168.1.8_POSEIDONSQL_APPFVT_01_SQLDevolucionesConMotivo_1[[#This Row],[dev_fecha]])</f>
        <v>2018</v>
      </c>
      <c r="S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9" spans="1:19" x14ac:dyDescent="0.25">
      <c r="A9">
        <v>55</v>
      </c>
      <c r="B9">
        <v>2</v>
      </c>
      <c r="C9" t="s">
        <v>156</v>
      </c>
      <c r="D9">
        <v>8479211</v>
      </c>
      <c r="E9">
        <v>4755</v>
      </c>
      <c r="F9" t="s">
        <v>166</v>
      </c>
      <c r="G9" t="s">
        <v>167</v>
      </c>
      <c r="H9">
        <v>1</v>
      </c>
      <c r="I9" t="s">
        <v>29</v>
      </c>
      <c r="J9">
        <v>1</v>
      </c>
      <c r="K9" t="s">
        <v>168</v>
      </c>
      <c r="L9">
        <v>1</v>
      </c>
      <c r="M9" t="s">
        <v>30</v>
      </c>
      <c r="N9" t="s">
        <v>30</v>
      </c>
      <c r="O9">
        <v>0</v>
      </c>
      <c r="P9">
        <v>4164</v>
      </c>
      <c r="Q9" t="s">
        <v>31</v>
      </c>
      <c r="R9">
        <f>+YEAR(Tabla__192.168.1.8_POSEIDONSQL_APPFVT_01_SQLDevolucionesConMotivo_1[[#This Row],[dev_fecha]])</f>
        <v>2018</v>
      </c>
      <c r="S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0" spans="1:19" x14ac:dyDescent="0.25">
      <c r="A10">
        <v>55</v>
      </c>
      <c r="B10">
        <v>2</v>
      </c>
      <c r="C10" t="s">
        <v>169</v>
      </c>
      <c r="D10">
        <v>335585</v>
      </c>
      <c r="E10">
        <v>4640</v>
      </c>
      <c r="F10" t="s">
        <v>170</v>
      </c>
      <c r="G10" t="s">
        <v>171</v>
      </c>
      <c r="H10">
        <v>1</v>
      </c>
      <c r="I10" t="s">
        <v>75</v>
      </c>
      <c r="J10">
        <v>1</v>
      </c>
      <c r="K10" t="s">
        <v>109</v>
      </c>
      <c r="L10">
        <v>1</v>
      </c>
      <c r="M10" t="s">
        <v>30</v>
      </c>
      <c r="N10" t="s">
        <v>30</v>
      </c>
      <c r="O10">
        <v>93438</v>
      </c>
      <c r="P10">
        <v>0</v>
      </c>
      <c r="Q10" t="s">
        <v>31</v>
      </c>
      <c r="R10">
        <f>+YEAR(Tabla__192.168.1.8_POSEIDONSQL_APPFVT_01_SQLDevolucionesConMotivo_1[[#This Row],[dev_fecha]])</f>
        <v>2018</v>
      </c>
      <c r="S1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1" spans="1:19" x14ac:dyDescent="0.25">
      <c r="A11">
        <v>55</v>
      </c>
      <c r="B11">
        <v>2</v>
      </c>
      <c r="C11" t="s">
        <v>169</v>
      </c>
      <c r="D11">
        <v>50045706</v>
      </c>
      <c r="E11">
        <v>4055</v>
      </c>
      <c r="F11" t="s">
        <v>172</v>
      </c>
      <c r="G11" t="s">
        <v>173</v>
      </c>
      <c r="H11">
        <v>1</v>
      </c>
      <c r="I11" t="s">
        <v>32</v>
      </c>
      <c r="J11">
        <v>1</v>
      </c>
      <c r="K11" t="s">
        <v>142</v>
      </c>
      <c r="L11">
        <v>1</v>
      </c>
      <c r="M11" t="s">
        <v>30</v>
      </c>
      <c r="N11" t="s">
        <v>30</v>
      </c>
      <c r="O11">
        <v>91727</v>
      </c>
      <c r="P11">
        <v>0</v>
      </c>
      <c r="Q11" t="s">
        <v>31</v>
      </c>
      <c r="R11">
        <f>+YEAR(Tabla__192.168.1.8_POSEIDONSQL_APPFVT_01_SQLDevolucionesConMotivo_1[[#This Row],[dev_fecha]])</f>
        <v>2018</v>
      </c>
      <c r="S1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12" spans="1:19" x14ac:dyDescent="0.25">
      <c r="A12">
        <v>55</v>
      </c>
      <c r="B12">
        <v>2</v>
      </c>
      <c r="C12" t="s">
        <v>169</v>
      </c>
      <c r="D12">
        <v>50045896</v>
      </c>
      <c r="E12">
        <v>4183</v>
      </c>
      <c r="F12" t="s">
        <v>174</v>
      </c>
      <c r="G12" t="s">
        <v>175</v>
      </c>
      <c r="H12">
        <v>1</v>
      </c>
      <c r="I12" t="s">
        <v>32</v>
      </c>
      <c r="J12">
        <v>1</v>
      </c>
      <c r="K12" t="s">
        <v>85</v>
      </c>
      <c r="L12">
        <v>1</v>
      </c>
      <c r="M12" t="s">
        <v>30</v>
      </c>
      <c r="N12" t="s">
        <v>30</v>
      </c>
      <c r="O12">
        <v>92414</v>
      </c>
      <c r="P12">
        <v>0</v>
      </c>
      <c r="Q12" t="s">
        <v>31</v>
      </c>
      <c r="R12">
        <f>+YEAR(Tabla__192.168.1.8_POSEIDONSQL_APPFVT_01_SQLDevolucionesConMotivo_1[[#This Row],[dev_fecha]])</f>
        <v>2018</v>
      </c>
      <c r="S1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13" spans="1:19" x14ac:dyDescent="0.25">
      <c r="A13">
        <v>55</v>
      </c>
      <c r="B13">
        <v>2</v>
      </c>
      <c r="C13" t="s">
        <v>169</v>
      </c>
      <c r="D13">
        <v>50046023</v>
      </c>
      <c r="E13">
        <v>4183</v>
      </c>
      <c r="F13" t="s">
        <v>176</v>
      </c>
      <c r="G13" t="s">
        <v>177</v>
      </c>
      <c r="H13">
        <v>1</v>
      </c>
      <c r="I13" t="s">
        <v>32</v>
      </c>
      <c r="J13">
        <v>1</v>
      </c>
      <c r="K13" t="s">
        <v>85</v>
      </c>
      <c r="L13">
        <v>1</v>
      </c>
      <c r="M13" t="s">
        <v>30</v>
      </c>
      <c r="N13" t="s">
        <v>30</v>
      </c>
      <c r="O13">
        <v>92418</v>
      </c>
      <c r="P13">
        <v>0</v>
      </c>
      <c r="Q13" t="s">
        <v>31</v>
      </c>
      <c r="R13">
        <f>+YEAR(Tabla__192.168.1.8_POSEIDONSQL_APPFVT_01_SQLDevolucionesConMotivo_1[[#This Row],[dev_fecha]])</f>
        <v>2018</v>
      </c>
      <c r="S1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14" spans="1:19" x14ac:dyDescent="0.25">
      <c r="A14">
        <v>55</v>
      </c>
      <c r="B14">
        <v>2</v>
      </c>
      <c r="C14" t="s">
        <v>169</v>
      </c>
      <c r="D14">
        <v>50046617</v>
      </c>
      <c r="E14">
        <v>4445</v>
      </c>
      <c r="F14" t="s">
        <v>128</v>
      </c>
      <c r="G14" t="s">
        <v>129</v>
      </c>
      <c r="H14">
        <v>1</v>
      </c>
      <c r="I14" t="s">
        <v>32</v>
      </c>
      <c r="J14">
        <v>1</v>
      </c>
      <c r="K14" t="s">
        <v>178</v>
      </c>
      <c r="L14">
        <v>1</v>
      </c>
      <c r="M14" t="s">
        <v>30</v>
      </c>
      <c r="N14" t="s">
        <v>30</v>
      </c>
      <c r="O14">
        <v>93198</v>
      </c>
      <c r="P14">
        <v>0</v>
      </c>
      <c r="Q14" t="s">
        <v>31</v>
      </c>
      <c r="R14">
        <f>+YEAR(Tabla__192.168.1.8_POSEIDONSQL_APPFVT_01_SQLDevolucionesConMotivo_1[[#This Row],[dev_fecha]])</f>
        <v>2018</v>
      </c>
      <c r="S1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5" spans="1:19" x14ac:dyDescent="0.25">
      <c r="A15">
        <v>55</v>
      </c>
      <c r="B15">
        <v>2</v>
      </c>
      <c r="C15" t="s">
        <v>169</v>
      </c>
      <c r="D15">
        <v>50046817</v>
      </c>
      <c r="E15">
        <v>4503</v>
      </c>
      <c r="F15" t="s">
        <v>83</v>
      </c>
      <c r="G15" t="s">
        <v>84</v>
      </c>
      <c r="H15">
        <v>1</v>
      </c>
      <c r="I15" t="s">
        <v>32</v>
      </c>
      <c r="J15">
        <v>1</v>
      </c>
      <c r="K15" t="s">
        <v>162</v>
      </c>
      <c r="L15">
        <v>1</v>
      </c>
      <c r="M15" t="s">
        <v>30</v>
      </c>
      <c r="N15" t="s">
        <v>30</v>
      </c>
      <c r="O15">
        <v>93357</v>
      </c>
      <c r="P15">
        <v>0</v>
      </c>
      <c r="Q15" t="s">
        <v>31</v>
      </c>
      <c r="R15">
        <f>+YEAR(Tabla__192.168.1.8_POSEIDONSQL_APPFVT_01_SQLDevolucionesConMotivo_1[[#This Row],[dev_fecha]])</f>
        <v>2018</v>
      </c>
      <c r="S1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6" spans="1:19" x14ac:dyDescent="0.25">
      <c r="A16">
        <v>55</v>
      </c>
      <c r="B16">
        <v>2</v>
      </c>
      <c r="C16" t="s">
        <v>169</v>
      </c>
      <c r="D16">
        <v>50046862</v>
      </c>
      <c r="E16">
        <v>4503</v>
      </c>
      <c r="F16" t="s">
        <v>179</v>
      </c>
      <c r="G16" t="s">
        <v>180</v>
      </c>
      <c r="H16">
        <v>1</v>
      </c>
      <c r="I16" t="s">
        <v>29</v>
      </c>
      <c r="J16">
        <v>1</v>
      </c>
      <c r="K16" t="s">
        <v>60</v>
      </c>
      <c r="L16">
        <v>1</v>
      </c>
      <c r="M16" t="s">
        <v>30</v>
      </c>
      <c r="N16" t="s">
        <v>30</v>
      </c>
      <c r="O16">
        <v>93358</v>
      </c>
      <c r="P16">
        <v>0</v>
      </c>
      <c r="Q16" t="s">
        <v>31</v>
      </c>
      <c r="R16">
        <f>+YEAR(Tabla__192.168.1.8_POSEIDONSQL_APPFVT_01_SQLDevolucionesConMotivo_1[[#This Row],[dev_fecha]])</f>
        <v>2018</v>
      </c>
      <c r="S1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7" spans="1:19" x14ac:dyDescent="0.25">
      <c r="A17">
        <v>55</v>
      </c>
      <c r="B17">
        <v>2</v>
      </c>
      <c r="C17" t="s">
        <v>169</v>
      </c>
      <c r="D17">
        <v>50046862</v>
      </c>
      <c r="E17">
        <v>4503</v>
      </c>
      <c r="F17" t="s">
        <v>179</v>
      </c>
      <c r="G17" t="s">
        <v>180</v>
      </c>
      <c r="H17">
        <v>1</v>
      </c>
      <c r="I17" t="s">
        <v>29</v>
      </c>
      <c r="J17">
        <v>1</v>
      </c>
      <c r="K17" t="s">
        <v>60</v>
      </c>
      <c r="L17">
        <v>1</v>
      </c>
      <c r="M17" t="s">
        <v>30</v>
      </c>
      <c r="N17" t="s">
        <v>30</v>
      </c>
      <c r="O17">
        <v>93358</v>
      </c>
      <c r="P17">
        <v>0</v>
      </c>
      <c r="Q17" t="s">
        <v>31</v>
      </c>
      <c r="R17">
        <f>+YEAR(Tabla__192.168.1.8_POSEIDONSQL_APPFVT_01_SQLDevolucionesConMotivo_1[[#This Row],[dev_fecha]])</f>
        <v>2018</v>
      </c>
      <c r="S1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8" spans="1:19" x14ac:dyDescent="0.25">
      <c r="A18">
        <v>55</v>
      </c>
      <c r="B18">
        <v>2</v>
      </c>
      <c r="C18" t="s">
        <v>169</v>
      </c>
      <c r="D18">
        <v>50046862</v>
      </c>
      <c r="E18">
        <v>4502</v>
      </c>
      <c r="F18" t="s">
        <v>170</v>
      </c>
      <c r="G18" t="s">
        <v>171</v>
      </c>
      <c r="H18">
        <v>1</v>
      </c>
      <c r="I18" t="s">
        <v>32</v>
      </c>
      <c r="J18">
        <v>1</v>
      </c>
      <c r="K18" t="s">
        <v>178</v>
      </c>
      <c r="L18">
        <v>1</v>
      </c>
      <c r="M18" t="s">
        <v>30</v>
      </c>
      <c r="N18" t="s">
        <v>30</v>
      </c>
      <c r="O18">
        <v>93217</v>
      </c>
      <c r="P18">
        <v>0</v>
      </c>
      <c r="Q18" t="s">
        <v>31</v>
      </c>
      <c r="R18">
        <f>+YEAR(Tabla__192.168.1.8_POSEIDONSQL_APPFVT_01_SQLDevolucionesConMotivo_1[[#This Row],[dev_fecha]])</f>
        <v>2018</v>
      </c>
      <c r="S1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19" spans="1:19" x14ac:dyDescent="0.25">
      <c r="A19">
        <v>55</v>
      </c>
      <c r="B19">
        <v>2</v>
      </c>
      <c r="C19" t="s">
        <v>169</v>
      </c>
      <c r="D19">
        <v>50047772</v>
      </c>
      <c r="E19">
        <v>4848</v>
      </c>
      <c r="F19" t="s">
        <v>181</v>
      </c>
      <c r="G19" t="s">
        <v>182</v>
      </c>
      <c r="H19">
        <v>1</v>
      </c>
      <c r="I19" t="s">
        <v>32</v>
      </c>
      <c r="J19">
        <v>1</v>
      </c>
      <c r="K19" t="s">
        <v>183</v>
      </c>
      <c r="L19">
        <v>1</v>
      </c>
      <c r="M19" t="s">
        <v>30</v>
      </c>
      <c r="N19" t="s">
        <v>30</v>
      </c>
      <c r="O19">
        <v>93865</v>
      </c>
      <c r="P19">
        <v>0</v>
      </c>
      <c r="Q19" t="s">
        <v>31</v>
      </c>
      <c r="R19">
        <f>+YEAR(Tabla__192.168.1.8_POSEIDONSQL_APPFVT_01_SQLDevolucionesConMotivo_1[[#This Row],[dev_fecha]])</f>
        <v>2018</v>
      </c>
      <c r="S1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20" spans="1:19" x14ac:dyDescent="0.25">
      <c r="A20">
        <v>55</v>
      </c>
      <c r="B20">
        <v>2</v>
      </c>
      <c r="C20" t="s">
        <v>127</v>
      </c>
      <c r="D20">
        <v>9186197</v>
      </c>
      <c r="E20">
        <v>4088</v>
      </c>
      <c r="F20" t="s">
        <v>130</v>
      </c>
      <c r="G20" t="s">
        <v>131</v>
      </c>
      <c r="H20">
        <v>1</v>
      </c>
      <c r="I20" t="s">
        <v>33</v>
      </c>
      <c r="J20">
        <v>2</v>
      </c>
      <c r="K20" t="s">
        <v>88</v>
      </c>
      <c r="L20">
        <v>1</v>
      </c>
      <c r="M20" t="s">
        <v>30</v>
      </c>
      <c r="N20" t="s">
        <v>30</v>
      </c>
      <c r="O20">
        <v>0</v>
      </c>
      <c r="P20">
        <v>0</v>
      </c>
      <c r="Q20" t="s">
        <v>34</v>
      </c>
      <c r="R20">
        <f>+YEAR(Tabla__192.168.1.8_POSEIDONSQL_APPFVT_01_SQLDevolucionesConMotivo_1[[#This Row],[dev_fecha]])</f>
        <v>2018</v>
      </c>
      <c r="S2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1" spans="1:19" x14ac:dyDescent="0.25">
      <c r="A21">
        <v>55</v>
      </c>
      <c r="B21">
        <v>2</v>
      </c>
      <c r="C21" t="s">
        <v>127</v>
      </c>
      <c r="D21">
        <v>9202321</v>
      </c>
      <c r="E21">
        <v>4148</v>
      </c>
      <c r="F21" t="s">
        <v>132</v>
      </c>
      <c r="G21" t="s">
        <v>133</v>
      </c>
      <c r="H21">
        <v>1</v>
      </c>
      <c r="I21" t="s">
        <v>33</v>
      </c>
      <c r="J21">
        <v>1</v>
      </c>
      <c r="K21" t="s">
        <v>88</v>
      </c>
      <c r="L21">
        <v>1</v>
      </c>
      <c r="M21" t="s">
        <v>30</v>
      </c>
      <c r="N21" t="s">
        <v>30</v>
      </c>
      <c r="O21">
        <v>0</v>
      </c>
      <c r="P21">
        <v>0</v>
      </c>
      <c r="Q21" t="s">
        <v>34</v>
      </c>
      <c r="R21">
        <f>+YEAR(Tabla__192.168.1.8_POSEIDONSQL_APPFVT_01_SQLDevolucionesConMotivo_1[[#This Row],[dev_fecha]])</f>
        <v>2018</v>
      </c>
      <c r="S2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2" spans="1:19" x14ac:dyDescent="0.25">
      <c r="A22">
        <v>55</v>
      </c>
      <c r="B22">
        <v>2</v>
      </c>
      <c r="C22" t="s">
        <v>127</v>
      </c>
      <c r="D22">
        <v>9232292</v>
      </c>
      <c r="E22">
        <v>4381</v>
      </c>
      <c r="F22" t="s">
        <v>134</v>
      </c>
      <c r="G22" t="s">
        <v>135</v>
      </c>
      <c r="H22">
        <v>1</v>
      </c>
      <c r="I22" t="s">
        <v>33</v>
      </c>
      <c r="J22">
        <v>1</v>
      </c>
      <c r="K22" t="s">
        <v>103</v>
      </c>
      <c r="L22">
        <v>1</v>
      </c>
      <c r="M22" t="s">
        <v>30</v>
      </c>
      <c r="N22" t="s">
        <v>30</v>
      </c>
      <c r="O22">
        <v>0</v>
      </c>
      <c r="P22">
        <v>0</v>
      </c>
      <c r="Q22" t="s">
        <v>34</v>
      </c>
      <c r="R22">
        <f>+YEAR(Tabla__192.168.1.8_POSEIDONSQL_APPFVT_01_SQLDevolucionesConMotivo_1[[#This Row],[dev_fecha]])</f>
        <v>2018</v>
      </c>
      <c r="S2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3" spans="1:19" x14ac:dyDescent="0.25">
      <c r="A23">
        <v>55</v>
      </c>
      <c r="B23">
        <v>2</v>
      </c>
      <c r="C23" t="s">
        <v>127</v>
      </c>
      <c r="D23">
        <v>9260384</v>
      </c>
      <c r="E23">
        <v>4594</v>
      </c>
      <c r="F23" t="s">
        <v>70</v>
      </c>
      <c r="G23" t="s">
        <v>71</v>
      </c>
      <c r="H23">
        <v>1</v>
      </c>
      <c r="I23" t="s">
        <v>29</v>
      </c>
      <c r="J23">
        <v>1</v>
      </c>
      <c r="K23" t="s">
        <v>136</v>
      </c>
      <c r="L23">
        <v>1</v>
      </c>
      <c r="M23" t="s">
        <v>30</v>
      </c>
      <c r="N23" t="s">
        <v>30</v>
      </c>
      <c r="O23">
        <v>93667</v>
      </c>
      <c r="P23">
        <v>0</v>
      </c>
      <c r="Q23" t="s">
        <v>31</v>
      </c>
      <c r="R23">
        <f>+YEAR(Tabla__192.168.1.8_POSEIDONSQL_APPFVT_01_SQLDevolucionesConMotivo_1[[#This Row],[dev_fecha]])</f>
        <v>2018</v>
      </c>
      <c r="S2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24" spans="1:19" x14ac:dyDescent="0.25">
      <c r="A24">
        <v>55</v>
      </c>
      <c r="B24">
        <v>2</v>
      </c>
      <c r="C24" t="s">
        <v>127</v>
      </c>
      <c r="D24">
        <v>9274711</v>
      </c>
      <c r="E24">
        <v>4622</v>
      </c>
      <c r="F24" t="s">
        <v>137</v>
      </c>
      <c r="G24" t="s">
        <v>138</v>
      </c>
      <c r="H24">
        <v>1</v>
      </c>
      <c r="I24" t="s">
        <v>32</v>
      </c>
      <c r="J24">
        <v>1</v>
      </c>
      <c r="K24" t="s">
        <v>64</v>
      </c>
      <c r="L24">
        <v>1</v>
      </c>
      <c r="M24" t="s">
        <v>30</v>
      </c>
      <c r="N24" t="s">
        <v>30</v>
      </c>
      <c r="O24">
        <v>93737</v>
      </c>
      <c r="P24">
        <v>0</v>
      </c>
      <c r="Q24" t="s">
        <v>31</v>
      </c>
      <c r="R24">
        <f>+YEAR(Tabla__192.168.1.8_POSEIDONSQL_APPFVT_01_SQLDevolucionesConMotivo_1[[#This Row],[dev_fecha]])</f>
        <v>2018</v>
      </c>
      <c r="S2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25" spans="1:19" x14ac:dyDescent="0.25">
      <c r="A25">
        <v>55</v>
      </c>
      <c r="B25">
        <v>2</v>
      </c>
      <c r="C25" t="s">
        <v>127</v>
      </c>
      <c r="D25">
        <v>9308553</v>
      </c>
      <c r="E25">
        <v>4800</v>
      </c>
      <c r="F25" t="s">
        <v>139</v>
      </c>
      <c r="G25" t="s">
        <v>140</v>
      </c>
      <c r="H25">
        <v>1</v>
      </c>
      <c r="I25" t="s">
        <v>33</v>
      </c>
      <c r="J25">
        <v>1</v>
      </c>
      <c r="K25" t="s">
        <v>141</v>
      </c>
      <c r="L25">
        <v>1</v>
      </c>
      <c r="M25" t="s">
        <v>30</v>
      </c>
      <c r="N25" t="s">
        <v>30</v>
      </c>
      <c r="O25">
        <v>0</v>
      </c>
      <c r="P25">
        <v>0</v>
      </c>
      <c r="Q25" t="s">
        <v>34</v>
      </c>
      <c r="R25">
        <f>+YEAR(Tabla__192.168.1.8_POSEIDONSQL_APPFVT_01_SQLDevolucionesConMotivo_1[[#This Row],[dev_fecha]])</f>
        <v>2018</v>
      </c>
      <c r="S2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26" spans="1:19" x14ac:dyDescent="0.25">
      <c r="A26">
        <v>55</v>
      </c>
      <c r="B26">
        <v>2</v>
      </c>
      <c r="C26" t="s">
        <v>28</v>
      </c>
      <c r="D26">
        <v>6503743787</v>
      </c>
      <c r="E26">
        <v>4028</v>
      </c>
      <c r="F26" t="s">
        <v>43</v>
      </c>
      <c r="G26" t="s">
        <v>44</v>
      </c>
      <c r="H26">
        <v>1</v>
      </c>
      <c r="I26" t="s">
        <v>32</v>
      </c>
      <c r="J26">
        <v>1</v>
      </c>
      <c r="K26" t="s">
        <v>45</v>
      </c>
      <c r="L26">
        <v>1</v>
      </c>
      <c r="M26" t="s">
        <v>30</v>
      </c>
      <c r="N26" t="s">
        <v>30</v>
      </c>
      <c r="O26">
        <v>91651</v>
      </c>
      <c r="P26">
        <v>0</v>
      </c>
      <c r="Q26" t="s">
        <v>31</v>
      </c>
      <c r="R26">
        <f>+YEAR(Tabla__192.168.1.8_POSEIDONSQL_APPFVT_01_SQLDevolucionesConMotivo_1[[#This Row],[dev_fecha]])</f>
        <v>2018</v>
      </c>
      <c r="S2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7" spans="1:19" x14ac:dyDescent="0.25">
      <c r="A27">
        <v>55</v>
      </c>
      <c r="B27">
        <v>2</v>
      </c>
      <c r="C27" t="s">
        <v>28</v>
      </c>
      <c r="D27">
        <v>6503745994</v>
      </c>
      <c r="E27">
        <v>4026</v>
      </c>
      <c r="F27" t="s">
        <v>38</v>
      </c>
      <c r="G27" t="s">
        <v>39</v>
      </c>
      <c r="H27">
        <v>100</v>
      </c>
      <c r="I27" t="s">
        <v>40</v>
      </c>
      <c r="J27">
        <v>100</v>
      </c>
      <c r="K27" t="s">
        <v>41</v>
      </c>
      <c r="L27">
        <v>100</v>
      </c>
      <c r="M27" t="s">
        <v>30</v>
      </c>
      <c r="N27" t="s">
        <v>30</v>
      </c>
      <c r="O27">
        <v>91710</v>
      </c>
      <c r="P27">
        <v>0</v>
      </c>
      <c r="Q27" t="s">
        <v>31</v>
      </c>
      <c r="R27">
        <f>+YEAR(Tabla__192.168.1.8_POSEIDONSQL_APPFVT_01_SQLDevolucionesConMotivo_1[[#This Row],[dev_fecha]])</f>
        <v>2018</v>
      </c>
      <c r="S2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8" spans="1:19" x14ac:dyDescent="0.25">
      <c r="A28">
        <v>55</v>
      </c>
      <c r="B28">
        <v>2</v>
      </c>
      <c r="C28" t="s">
        <v>69</v>
      </c>
      <c r="D28">
        <v>9108868</v>
      </c>
      <c r="E28">
        <v>4296</v>
      </c>
      <c r="F28" t="s">
        <v>76</v>
      </c>
      <c r="G28" t="s">
        <v>77</v>
      </c>
      <c r="H28">
        <v>1</v>
      </c>
      <c r="I28" t="s">
        <v>114</v>
      </c>
      <c r="J28">
        <v>1</v>
      </c>
      <c r="K28" t="s">
        <v>88</v>
      </c>
      <c r="L28">
        <v>1</v>
      </c>
      <c r="M28" t="s">
        <v>30</v>
      </c>
      <c r="N28" t="s">
        <v>30</v>
      </c>
      <c r="O28">
        <v>92844</v>
      </c>
      <c r="P28">
        <v>0</v>
      </c>
      <c r="Q28" t="s">
        <v>31</v>
      </c>
      <c r="R28">
        <f>+YEAR(Tabla__192.168.1.8_POSEIDONSQL_APPFVT_01_SQLDevolucionesConMotivo_1[[#This Row],[dev_fecha]])</f>
        <v>2018</v>
      </c>
      <c r="S2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29" spans="1:19" x14ac:dyDescent="0.25">
      <c r="A29">
        <v>55</v>
      </c>
      <c r="B29">
        <v>2</v>
      </c>
      <c r="C29" t="s">
        <v>69</v>
      </c>
      <c r="D29">
        <v>9109441</v>
      </c>
      <c r="E29">
        <v>4151</v>
      </c>
      <c r="F29" t="s">
        <v>76</v>
      </c>
      <c r="G29" t="s">
        <v>77</v>
      </c>
      <c r="H29">
        <v>1</v>
      </c>
      <c r="I29" t="s">
        <v>82</v>
      </c>
      <c r="J29">
        <v>1</v>
      </c>
      <c r="K29" t="s">
        <v>89</v>
      </c>
      <c r="L29">
        <v>1</v>
      </c>
      <c r="M29" t="s">
        <v>30</v>
      </c>
      <c r="N29" t="s">
        <v>30</v>
      </c>
      <c r="O29">
        <v>92210</v>
      </c>
      <c r="P29">
        <v>0</v>
      </c>
      <c r="Q29" t="s">
        <v>31</v>
      </c>
      <c r="R29">
        <f>+YEAR(Tabla__192.168.1.8_POSEIDONSQL_APPFVT_01_SQLDevolucionesConMotivo_1[[#This Row],[dev_fecha]])</f>
        <v>2018</v>
      </c>
      <c r="S2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0" spans="1:19" x14ac:dyDescent="0.25">
      <c r="A30">
        <v>55</v>
      </c>
      <c r="B30">
        <v>2</v>
      </c>
      <c r="C30" t="s">
        <v>69</v>
      </c>
      <c r="D30">
        <v>9109683</v>
      </c>
      <c r="E30">
        <v>4180</v>
      </c>
      <c r="F30" t="s">
        <v>91</v>
      </c>
      <c r="G30" t="s">
        <v>92</v>
      </c>
      <c r="H30">
        <v>1</v>
      </c>
      <c r="I30" t="s">
        <v>32</v>
      </c>
      <c r="J30">
        <v>1</v>
      </c>
      <c r="K30" t="s">
        <v>89</v>
      </c>
      <c r="L30">
        <v>1</v>
      </c>
      <c r="M30" t="s">
        <v>30</v>
      </c>
      <c r="N30" t="s">
        <v>30</v>
      </c>
      <c r="O30">
        <v>92194</v>
      </c>
      <c r="P30">
        <v>0</v>
      </c>
      <c r="Q30" t="s">
        <v>31</v>
      </c>
      <c r="R30">
        <f>+YEAR(Tabla__192.168.1.8_POSEIDONSQL_APPFVT_01_SQLDevolucionesConMotivo_1[[#This Row],[dev_fecha]])</f>
        <v>2018</v>
      </c>
      <c r="S3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1" spans="1:19" x14ac:dyDescent="0.25">
      <c r="A31">
        <v>55</v>
      </c>
      <c r="B31">
        <v>2</v>
      </c>
      <c r="C31" t="s">
        <v>69</v>
      </c>
      <c r="D31">
        <v>9109938</v>
      </c>
      <c r="E31">
        <v>4177</v>
      </c>
      <c r="F31" t="s">
        <v>74</v>
      </c>
      <c r="G31" t="s">
        <v>90</v>
      </c>
      <c r="H31">
        <v>1</v>
      </c>
      <c r="I31" t="s">
        <v>33</v>
      </c>
      <c r="J31">
        <v>1</v>
      </c>
      <c r="K31" t="s">
        <v>88</v>
      </c>
      <c r="L31">
        <v>1</v>
      </c>
      <c r="M31" t="s">
        <v>30</v>
      </c>
      <c r="N31" t="s">
        <v>30</v>
      </c>
      <c r="O31">
        <v>0</v>
      </c>
      <c r="P31">
        <v>0</v>
      </c>
      <c r="Q31" t="s">
        <v>34</v>
      </c>
      <c r="R31">
        <f>+YEAR(Tabla__192.168.1.8_POSEIDONSQL_APPFVT_01_SQLDevolucionesConMotivo_1[[#This Row],[dev_fecha]])</f>
        <v>2018</v>
      </c>
      <c r="S3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2" spans="1:19" x14ac:dyDescent="0.25">
      <c r="A32">
        <v>55</v>
      </c>
      <c r="B32">
        <v>2</v>
      </c>
      <c r="C32" t="s">
        <v>69</v>
      </c>
      <c r="D32">
        <v>9112845</v>
      </c>
      <c r="E32">
        <v>4346</v>
      </c>
      <c r="F32" t="s">
        <v>119</v>
      </c>
      <c r="G32" t="s">
        <v>120</v>
      </c>
      <c r="H32">
        <v>1</v>
      </c>
      <c r="I32" t="s">
        <v>33</v>
      </c>
      <c r="J32">
        <v>1</v>
      </c>
      <c r="K32" t="s">
        <v>103</v>
      </c>
      <c r="L32">
        <v>1</v>
      </c>
      <c r="M32" t="s">
        <v>30</v>
      </c>
      <c r="N32" t="s">
        <v>30</v>
      </c>
      <c r="O32">
        <v>0</v>
      </c>
      <c r="P32">
        <v>0</v>
      </c>
      <c r="Q32" t="s">
        <v>34</v>
      </c>
      <c r="R32">
        <f>+YEAR(Tabla__192.168.1.8_POSEIDONSQL_APPFVT_01_SQLDevolucionesConMotivo_1[[#This Row],[dev_fecha]])</f>
        <v>2018</v>
      </c>
      <c r="S3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3" spans="1:19" x14ac:dyDescent="0.25">
      <c r="A33">
        <v>55</v>
      </c>
      <c r="B33">
        <v>2</v>
      </c>
      <c r="C33" t="s">
        <v>69</v>
      </c>
      <c r="D33">
        <v>9112875</v>
      </c>
      <c r="E33">
        <v>4286</v>
      </c>
      <c r="F33" t="s">
        <v>93</v>
      </c>
      <c r="G33" t="s">
        <v>94</v>
      </c>
      <c r="H33">
        <v>216</v>
      </c>
      <c r="I33" t="s">
        <v>32</v>
      </c>
      <c r="J33">
        <v>310</v>
      </c>
      <c r="K33" t="s">
        <v>88</v>
      </c>
      <c r="L33">
        <v>216</v>
      </c>
      <c r="M33" t="s">
        <v>30</v>
      </c>
      <c r="N33" t="s">
        <v>30</v>
      </c>
      <c r="O33">
        <v>92659</v>
      </c>
      <c r="P33">
        <v>0</v>
      </c>
      <c r="Q33" t="s">
        <v>31</v>
      </c>
      <c r="R33">
        <f>+YEAR(Tabla__192.168.1.8_POSEIDONSQL_APPFVT_01_SQLDevolucionesConMotivo_1[[#This Row],[dev_fecha]])</f>
        <v>2018</v>
      </c>
      <c r="S3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4" spans="1:19" x14ac:dyDescent="0.25">
      <c r="A34">
        <v>55</v>
      </c>
      <c r="B34">
        <v>2</v>
      </c>
      <c r="C34" t="s">
        <v>69</v>
      </c>
      <c r="D34">
        <v>9112875</v>
      </c>
      <c r="E34">
        <v>4286</v>
      </c>
      <c r="F34" t="s">
        <v>95</v>
      </c>
      <c r="G34" t="s">
        <v>96</v>
      </c>
      <c r="H34">
        <v>310</v>
      </c>
      <c r="I34" t="s">
        <v>82</v>
      </c>
      <c r="J34">
        <v>8</v>
      </c>
      <c r="K34" t="s">
        <v>88</v>
      </c>
      <c r="L34">
        <v>310</v>
      </c>
      <c r="M34" t="s">
        <v>30</v>
      </c>
      <c r="N34" t="s">
        <v>30</v>
      </c>
      <c r="O34">
        <v>92659</v>
      </c>
      <c r="P34">
        <v>0</v>
      </c>
      <c r="Q34" t="s">
        <v>31</v>
      </c>
      <c r="R34">
        <f>+YEAR(Tabla__192.168.1.8_POSEIDONSQL_APPFVT_01_SQLDevolucionesConMotivo_1[[#This Row],[dev_fecha]])</f>
        <v>2018</v>
      </c>
      <c r="S3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5" spans="1:19" x14ac:dyDescent="0.25">
      <c r="A35">
        <v>55</v>
      </c>
      <c r="B35">
        <v>2</v>
      </c>
      <c r="C35" t="s">
        <v>69</v>
      </c>
      <c r="D35">
        <v>9113411</v>
      </c>
      <c r="E35">
        <v>4296</v>
      </c>
      <c r="F35" t="s">
        <v>115</v>
      </c>
      <c r="G35" t="s">
        <v>116</v>
      </c>
      <c r="H35">
        <v>1</v>
      </c>
      <c r="I35" t="s">
        <v>114</v>
      </c>
      <c r="J35">
        <v>1</v>
      </c>
      <c r="K35" t="s">
        <v>88</v>
      </c>
      <c r="L35">
        <v>1</v>
      </c>
      <c r="M35" t="s">
        <v>30</v>
      </c>
      <c r="N35" t="s">
        <v>30</v>
      </c>
      <c r="O35">
        <v>92828</v>
      </c>
      <c r="P35">
        <v>0</v>
      </c>
      <c r="Q35" t="s">
        <v>31</v>
      </c>
      <c r="R35">
        <f>+YEAR(Tabla__192.168.1.8_POSEIDONSQL_APPFVT_01_SQLDevolucionesConMotivo_1[[#This Row],[dev_fecha]])</f>
        <v>2018</v>
      </c>
      <c r="S3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6" spans="1:19" x14ac:dyDescent="0.25">
      <c r="A36">
        <v>55</v>
      </c>
      <c r="B36">
        <v>2</v>
      </c>
      <c r="C36" t="s">
        <v>69</v>
      </c>
      <c r="D36">
        <v>9113942</v>
      </c>
      <c r="E36">
        <v>4346</v>
      </c>
      <c r="F36" t="s">
        <v>112</v>
      </c>
      <c r="G36" t="s">
        <v>113</v>
      </c>
      <c r="H36">
        <v>1</v>
      </c>
      <c r="I36" t="s">
        <v>33</v>
      </c>
      <c r="J36">
        <v>2</v>
      </c>
      <c r="K36" t="s">
        <v>103</v>
      </c>
      <c r="L36">
        <v>1</v>
      </c>
      <c r="M36" t="s">
        <v>30</v>
      </c>
      <c r="N36" t="s">
        <v>30</v>
      </c>
      <c r="O36">
        <v>0</v>
      </c>
      <c r="P36">
        <v>0</v>
      </c>
      <c r="Q36" t="s">
        <v>34</v>
      </c>
      <c r="R36">
        <f>+YEAR(Tabla__192.168.1.8_POSEIDONSQL_APPFVT_01_SQLDevolucionesConMotivo_1[[#This Row],[dev_fecha]])</f>
        <v>2018</v>
      </c>
      <c r="S3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7" spans="1:19" x14ac:dyDescent="0.25">
      <c r="A37">
        <v>55</v>
      </c>
      <c r="B37">
        <v>2</v>
      </c>
      <c r="C37" t="s">
        <v>69</v>
      </c>
      <c r="D37">
        <v>9113942</v>
      </c>
      <c r="E37">
        <v>4346</v>
      </c>
      <c r="F37" t="s">
        <v>112</v>
      </c>
      <c r="G37" t="s">
        <v>113</v>
      </c>
      <c r="H37">
        <v>1</v>
      </c>
      <c r="I37" t="s">
        <v>33</v>
      </c>
      <c r="J37">
        <v>2</v>
      </c>
      <c r="K37" t="s">
        <v>103</v>
      </c>
      <c r="L37">
        <v>1</v>
      </c>
      <c r="M37" t="s">
        <v>30</v>
      </c>
      <c r="N37" t="s">
        <v>30</v>
      </c>
      <c r="O37">
        <v>0</v>
      </c>
      <c r="P37">
        <v>0</v>
      </c>
      <c r="Q37" t="s">
        <v>34</v>
      </c>
      <c r="R37">
        <f>+YEAR(Tabla__192.168.1.8_POSEIDONSQL_APPFVT_01_SQLDevolucionesConMotivo_1[[#This Row],[dev_fecha]])</f>
        <v>2018</v>
      </c>
      <c r="S3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8" spans="1:19" x14ac:dyDescent="0.25">
      <c r="A38">
        <v>55</v>
      </c>
      <c r="B38">
        <v>2</v>
      </c>
      <c r="C38" t="s">
        <v>69</v>
      </c>
      <c r="D38">
        <v>9115511</v>
      </c>
      <c r="E38">
        <v>4320</v>
      </c>
      <c r="F38" t="s">
        <v>117</v>
      </c>
      <c r="G38" t="s">
        <v>118</v>
      </c>
      <c r="H38">
        <v>1</v>
      </c>
      <c r="I38" t="s">
        <v>114</v>
      </c>
      <c r="J38">
        <v>1</v>
      </c>
      <c r="K38" t="s">
        <v>88</v>
      </c>
      <c r="L38">
        <v>1</v>
      </c>
      <c r="M38" t="s">
        <v>30</v>
      </c>
      <c r="N38" t="s">
        <v>30</v>
      </c>
      <c r="O38">
        <v>92834</v>
      </c>
      <c r="P38">
        <v>0</v>
      </c>
      <c r="Q38" t="s">
        <v>31</v>
      </c>
      <c r="R38">
        <f>+YEAR(Tabla__192.168.1.8_POSEIDONSQL_APPFVT_01_SQLDevolucionesConMotivo_1[[#This Row],[dev_fecha]])</f>
        <v>2018</v>
      </c>
      <c r="S3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39" spans="1:19" x14ac:dyDescent="0.25">
      <c r="A39">
        <v>55</v>
      </c>
      <c r="B39">
        <v>2</v>
      </c>
      <c r="C39" t="s">
        <v>69</v>
      </c>
      <c r="D39">
        <v>9117620</v>
      </c>
      <c r="E39">
        <v>4414</v>
      </c>
      <c r="F39" t="s">
        <v>121</v>
      </c>
      <c r="G39" t="s">
        <v>122</v>
      </c>
      <c r="H39">
        <v>1</v>
      </c>
      <c r="I39" t="s">
        <v>33</v>
      </c>
      <c r="J39">
        <v>1</v>
      </c>
      <c r="K39" t="s">
        <v>123</v>
      </c>
      <c r="L39">
        <v>1</v>
      </c>
      <c r="M39" t="s">
        <v>30</v>
      </c>
      <c r="N39" t="s">
        <v>30</v>
      </c>
      <c r="O39">
        <v>0</v>
      </c>
      <c r="P39">
        <v>0</v>
      </c>
      <c r="Q39" t="s">
        <v>34</v>
      </c>
      <c r="R39">
        <f>+YEAR(Tabla__192.168.1.8_POSEIDONSQL_APPFVT_01_SQLDevolucionesConMotivo_1[[#This Row],[dev_fecha]])</f>
        <v>2018</v>
      </c>
      <c r="S3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0" spans="1:19" x14ac:dyDescent="0.25">
      <c r="A40">
        <v>55</v>
      </c>
      <c r="B40">
        <v>2</v>
      </c>
      <c r="C40" t="s">
        <v>69</v>
      </c>
      <c r="D40">
        <v>9121279</v>
      </c>
      <c r="E40">
        <v>4543</v>
      </c>
      <c r="F40" t="s">
        <v>112</v>
      </c>
      <c r="G40" t="s">
        <v>113</v>
      </c>
      <c r="H40">
        <v>1</v>
      </c>
      <c r="I40" t="s">
        <v>33</v>
      </c>
      <c r="J40">
        <v>1</v>
      </c>
      <c r="K40" t="s">
        <v>109</v>
      </c>
      <c r="L40">
        <v>1</v>
      </c>
      <c r="M40" t="s">
        <v>30</v>
      </c>
      <c r="N40" t="s">
        <v>30</v>
      </c>
      <c r="O40">
        <v>0</v>
      </c>
      <c r="P40">
        <v>0</v>
      </c>
      <c r="Q40" t="s">
        <v>34</v>
      </c>
      <c r="R40">
        <f>+YEAR(Tabla__192.168.1.8_POSEIDONSQL_APPFVT_01_SQLDevolucionesConMotivo_1[[#This Row],[dev_fecha]])</f>
        <v>2018</v>
      </c>
      <c r="S4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1" spans="1:19" x14ac:dyDescent="0.25">
      <c r="A41">
        <v>55</v>
      </c>
      <c r="B41">
        <v>2</v>
      </c>
      <c r="C41" t="s">
        <v>69</v>
      </c>
      <c r="D41">
        <v>9121357</v>
      </c>
      <c r="E41">
        <v>4543</v>
      </c>
      <c r="F41" t="s">
        <v>112</v>
      </c>
      <c r="G41" t="s">
        <v>113</v>
      </c>
      <c r="H41">
        <v>1</v>
      </c>
      <c r="I41" t="s">
        <v>33</v>
      </c>
      <c r="J41">
        <v>1</v>
      </c>
      <c r="K41" t="s">
        <v>109</v>
      </c>
      <c r="L41">
        <v>1</v>
      </c>
      <c r="M41" t="s">
        <v>30</v>
      </c>
      <c r="N41" t="s">
        <v>30</v>
      </c>
      <c r="O41">
        <v>0</v>
      </c>
      <c r="P41">
        <v>0</v>
      </c>
      <c r="Q41" t="s">
        <v>34</v>
      </c>
      <c r="R41">
        <f>+YEAR(Tabla__192.168.1.8_POSEIDONSQL_APPFVT_01_SQLDevolucionesConMotivo_1[[#This Row],[dev_fecha]])</f>
        <v>2018</v>
      </c>
      <c r="S4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2" spans="1:19" x14ac:dyDescent="0.25">
      <c r="A42">
        <v>55</v>
      </c>
      <c r="B42">
        <v>2</v>
      </c>
      <c r="C42" t="s">
        <v>69</v>
      </c>
      <c r="D42">
        <v>9121357</v>
      </c>
      <c r="E42">
        <v>4543</v>
      </c>
      <c r="F42" t="s">
        <v>112</v>
      </c>
      <c r="G42" t="s">
        <v>113</v>
      </c>
      <c r="H42">
        <v>1</v>
      </c>
      <c r="I42" t="s">
        <v>33</v>
      </c>
      <c r="J42">
        <v>1</v>
      </c>
      <c r="K42" t="s">
        <v>109</v>
      </c>
      <c r="L42">
        <v>1</v>
      </c>
      <c r="M42" t="s">
        <v>30</v>
      </c>
      <c r="N42" t="s">
        <v>30</v>
      </c>
      <c r="O42">
        <v>0</v>
      </c>
      <c r="P42">
        <v>0</v>
      </c>
      <c r="Q42" t="s">
        <v>34</v>
      </c>
      <c r="R42">
        <f>+YEAR(Tabla__192.168.1.8_POSEIDONSQL_APPFVT_01_SQLDevolucionesConMotivo_1[[#This Row],[dev_fecha]])</f>
        <v>2018</v>
      </c>
      <c r="S4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3" spans="1:19" x14ac:dyDescent="0.25">
      <c r="A43">
        <v>55</v>
      </c>
      <c r="B43">
        <v>2</v>
      </c>
      <c r="C43" t="s">
        <v>69</v>
      </c>
      <c r="D43">
        <v>9122276</v>
      </c>
      <c r="E43">
        <v>4543</v>
      </c>
      <c r="F43" t="s">
        <v>124</v>
      </c>
      <c r="G43" t="s">
        <v>125</v>
      </c>
      <c r="H43">
        <v>1</v>
      </c>
      <c r="I43" t="s">
        <v>32</v>
      </c>
      <c r="J43">
        <v>1</v>
      </c>
      <c r="K43" t="s">
        <v>109</v>
      </c>
      <c r="L43">
        <v>1</v>
      </c>
      <c r="M43" t="s">
        <v>30</v>
      </c>
      <c r="N43" t="s">
        <v>30</v>
      </c>
      <c r="O43">
        <v>93507</v>
      </c>
      <c r="P43">
        <v>0</v>
      </c>
      <c r="Q43" t="s">
        <v>31</v>
      </c>
      <c r="R43">
        <f>+YEAR(Tabla__192.168.1.8_POSEIDONSQL_APPFVT_01_SQLDevolucionesConMotivo_1[[#This Row],[dev_fecha]])</f>
        <v>2018</v>
      </c>
      <c r="S4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4" spans="1:19" x14ac:dyDescent="0.25">
      <c r="A44">
        <v>55</v>
      </c>
      <c r="B44">
        <v>2</v>
      </c>
      <c r="C44" t="s">
        <v>69</v>
      </c>
      <c r="D44">
        <v>9131569</v>
      </c>
      <c r="E44">
        <v>4774</v>
      </c>
      <c r="F44" t="s">
        <v>74</v>
      </c>
      <c r="G44" t="s">
        <v>90</v>
      </c>
      <c r="H44">
        <v>1</v>
      </c>
      <c r="I44" t="s">
        <v>33</v>
      </c>
      <c r="J44">
        <v>1</v>
      </c>
      <c r="K44" t="s">
        <v>126</v>
      </c>
      <c r="L44">
        <v>1</v>
      </c>
      <c r="M44" t="s">
        <v>30</v>
      </c>
      <c r="N44" t="s">
        <v>30</v>
      </c>
      <c r="O44">
        <v>0</v>
      </c>
      <c r="P44">
        <v>0</v>
      </c>
      <c r="Q44" t="s">
        <v>34</v>
      </c>
      <c r="R44">
        <f>+YEAR(Tabla__192.168.1.8_POSEIDONSQL_APPFVT_01_SQLDevolucionesConMotivo_1[[#This Row],[dev_fecha]])</f>
        <v>2018</v>
      </c>
      <c r="S4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45" spans="1:19" x14ac:dyDescent="0.25">
      <c r="A45">
        <v>55</v>
      </c>
      <c r="B45">
        <v>2</v>
      </c>
      <c r="C45" t="s">
        <v>28</v>
      </c>
      <c r="D45">
        <v>6503745994</v>
      </c>
      <c r="E45">
        <v>4026</v>
      </c>
      <c r="F45" t="s">
        <v>38</v>
      </c>
      <c r="G45" t="s">
        <v>39</v>
      </c>
      <c r="H45">
        <v>100</v>
      </c>
      <c r="I45" t="s">
        <v>32</v>
      </c>
      <c r="J45">
        <v>100</v>
      </c>
      <c r="K45" t="s">
        <v>42</v>
      </c>
      <c r="L45">
        <v>100</v>
      </c>
      <c r="M45" t="s">
        <v>30</v>
      </c>
      <c r="N45" t="s">
        <v>30</v>
      </c>
      <c r="O45">
        <v>91906</v>
      </c>
      <c r="P45">
        <v>0</v>
      </c>
      <c r="Q45" t="s">
        <v>31</v>
      </c>
      <c r="R45">
        <f>+YEAR(Tabla__192.168.1.8_POSEIDONSQL_APPFVT_01_SQLDevolucionesConMotivo_1[[#This Row],[dev_fecha]])</f>
        <v>2018</v>
      </c>
      <c r="S4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46" spans="1:19" x14ac:dyDescent="0.25">
      <c r="A46">
        <v>55</v>
      </c>
      <c r="B46">
        <v>2</v>
      </c>
      <c r="C46" t="s">
        <v>28</v>
      </c>
      <c r="D46">
        <v>6503746276</v>
      </c>
      <c r="E46">
        <v>4002</v>
      </c>
      <c r="F46" t="s">
        <v>35</v>
      </c>
      <c r="G46" t="s">
        <v>36</v>
      </c>
      <c r="H46">
        <v>1</v>
      </c>
      <c r="I46" t="s">
        <v>29</v>
      </c>
      <c r="J46">
        <v>1</v>
      </c>
      <c r="K46" t="s">
        <v>37</v>
      </c>
      <c r="L46">
        <v>1</v>
      </c>
      <c r="M46" t="s">
        <v>30</v>
      </c>
      <c r="N46" t="s">
        <v>30</v>
      </c>
      <c r="O46">
        <v>91556</v>
      </c>
      <c r="P46">
        <v>0</v>
      </c>
      <c r="Q46" t="s">
        <v>31</v>
      </c>
      <c r="R46">
        <f>+YEAR(Tabla__192.168.1.8_POSEIDONSQL_APPFVT_01_SQLDevolucionesConMotivo_1[[#This Row],[dev_fecha]])</f>
        <v>2018</v>
      </c>
      <c r="S4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47" spans="1:19" x14ac:dyDescent="0.25">
      <c r="A47">
        <v>55</v>
      </c>
      <c r="B47">
        <v>2</v>
      </c>
      <c r="C47" t="s">
        <v>28</v>
      </c>
      <c r="D47">
        <v>6503751955</v>
      </c>
      <c r="E47">
        <v>4036</v>
      </c>
      <c r="F47" t="s">
        <v>38</v>
      </c>
      <c r="G47" t="s">
        <v>39</v>
      </c>
      <c r="H47">
        <v>10</v>
      </c>
      <c r="I47" t="s">
        <v>46</v>
      </c>
      <c r="J47">
        <v>10</v>
      </c>
      <c r="K47" t="s">
        <v>41</v>
      </c>
      <c r="L47">
        <v>10</v>
      </c>
      <c r="M47" t="s">
        <v>30</v>
      </c>
      <c r="N47" t="s">
        <v>30</v>
      </c>
      <c r="O47">
        <v>91621</v>
      </c>
      <c r="P47">
        <v>0</v>
      </c>
      <c r="Q47" t="s">
        <v>31</v>
      </c>
      <c r="R47">
        <f>+YEAR(Tabla__192.168.1.8_POSEIDONSQL_APPFVT_01_SQLDevolucionesConMotivo_1[[#This Row],[dev_fecha]])</f>
        <v>2018</v>
      </c>
      <c r="S4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48" spans="1:19" x14ac:dyDescent="0.25">
      <c r="A48">
        <v>55</v>
      </c>
      <c r="B48">
        <v>2</v>
      </c>
      <c r="C48" t="s">
        <v>28</v>
      </c>
      <c r="D48">
        <v>6503751955</v>
      </c>
      <c r="E48">
        <v>4036</v>
      </c>
      <c r="F48" t="s">
        <v>38</v>
      </c>
      <c r="G48" t="s">
        <v>39</v>
      </c>
      <c r="H48">
        <v>10</v>
      </c>
      <c r="I48" t="s">
        <v>46</v>
      </c>
      <c r="J48">
        <v>10</v>
      </c>
      <c r="K48" t="s">
        <v>41</v>
      </c>
      <c r="L48">
        <v>10</v>
      </c>
      <c r="M48" t="s">
        <v>30</v>
      </c>
      <c r="N48" t="s">
        <v>30</v>
      </c>
      <c r="O48">
        <v>91621</v>
      </c>
      <c r="P48">
        <v>0</v>
      </c>
      <c r="Q48" t="s">
        <v>31</v>
      </c>
      <c r="R48">
        <f>+YEAR(Tabla__192.168.1.8_POSEIDONSQL_APPFVT_01_SQLDevolucionesConMotivo_1[[#This Row],[dev_fecha]])</f>
        <v>2018</v>
      </c>
      <c r="S4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49" spans="1:19" x14ac:dyDescent="0.25">
      <c r="A49">
        <v>55</v>
      </c>
      <c r="B49">
        <v>2</v>
      </c>
      <c r="C49" t="s">
        <v>28</v>
      </c>
      <c r="D49">
        <v>6503751955</v>
      </c>
      <c r="E49">
        <v>4036</v>
      </c>
      <c r="F49" t="s">
        <v>38</v>
      </c>
      <c r="G49" t="s">
        <v>39</v>
      </c>
      <c r="H49">
        <v>10</v>
      </c>
      <c r="I49" t="s">
        <v>46</v>
      </c>
      <c r="J49">
        <v>10</v>
      </c>
      <c r="K49" t="s">
        <v>41</v>
      </c>
      <c r="L49">
        <v>10</v>
      </c>
      <c r="M49" t="s">
        <v>30</v>
      </c>
      <c r="N49" t="s">
        <v>30</v>
      </c>
      <c r="O49">
        <v>91621</v>
      </c>
      <c r="P49">
        <v>0</v>
      </c>
      <c r="Q49" t="s">
        <v>31</v>
      </c>
      <c r="R49">
        <f>+YEAR(Tabla__192.168.1.8_POSEIDONSQL_APPFVT_01_SQLDevolucionesConMotivo_1[[#This Row],[dev_fecha]])</f>
        <v>2018</v>
      </c>
      <c r="S4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0" spans="1:19" x14ac:dyDescent="0.25">
      <c r="A50">
        <v>55</v>
      </c>
      <c r="B50">
        <v>2</v>
      </c>
      <c r="C50" t="s">
        <v>28</v>
      </c>
      <c r="D50">
        <v>6503751955</v>
      </c>
      <c r="E50">
        <v>4036</v>
      </c>
      <c r="F50" t="s">
        <v>38</v>
      </c>
      <c r="G50" t="s">
        <v>39</v>
      </c>
      <c r="H50">
        <v>10</v>
      </c>
      <c r="I50" t="s">
        <v>46</v>
      </c>
      <c r="J50">
        <v>10</v>
      </c>
      <c r="K50" t="s">
        <v>41</v>
      </c>
      <c r="L50">
        <v>10</v>
      </c>
      <c r="M50" t="s">
        <v>30</v>
      </c>
      <c r="N50" t="s">
        <v>30</v>
      </c>
      <c r="O50">
        <v>91621</v>
      </c>
      <c r="P50">
        <v>0</v>
      </c>
      <c r="Q50" t="s">
        <v>31</v>
      </c>
      <c r="R50">
        <f>+YEAR(Tabla__192.168.1.8_POSEIDONSQL_APPFVT_01_SQLDevolucionesConMotivo_1[[#This Row],[dev_fecha]])</f>
        <v>2018</v>
      </c>
      <c r="S5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1" spans="1:19" x14ac:dyDescent="0.25">
      <c r="A51">
        <v>55</v>
      </c>
      <c r="B51">
        <v>2</v>
      </c>
      <c r="C51" t="s">
        <v>28</v>
      </c>
      <c r="D51">
        <v>6503751955</v>
      </c>
      <c r="E51">
        <v>4036</v>
      </c>
      <c r="F51" t="s">
        <v>38</v>
      </c>
      <c r="G51" t="s">
        <v>39</v>
      </c>
      <c r="H51">
        <v>10</v>
      </c>
      <c r="I51" t="s">
        <v>46</v>
      </c>
      <c r="J51">
        <v>10</v>
      </c>
      <c r="K51" t="s">
        <v>41</v>
      </c>
      <c r="L51">
        <v>10</v>
      </c>
      <c r="M51" t="s">
        <v>30</v>
      </c>
      <c r="N51" t="s">
        <v>30</v>
      </c>
      <c r="O51">
        <v>91621</v>
      </c>
      <c r="P51">
        <v>0</v>
      </c>
      <c r="Q51" t="s">
        <v>31</v>
      </c>
      <c r="R51">
        <f>+YEAR(Tabla__192.168.1.8_POSEIDONSQL_APPFVT_01_SQLDevolucionesConMotivo_1[[#This Row],[dev_fecha]])</f>
        <v>2018</v>
      </c>
      <c r="S5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2" spans="1:19" x14ac:dyDescent="0.25">
      <c r="A52">
        <v>55</v>
      </c>
      <c r="B52">
        <v>2</v>
      </c>
      <c r="C52" t="s">
        <v>28</v>
      </c>
      <c r="D52">
        <v>6503751955</v>
      </c>
      <c r="E52">
        <v>4036</v>
      </c>
      <c r="F52" t="s">
        <v>38</v>
      </c>
      <c r="G52" t="s">
        <v>39</v>
      </c>
      <c r="H52">
        <v>10</v>
      </c>
      <c r="I52" t="s">
        <v>46</v>
      </c>
      <c r="J52">
        <v>10</v>
      </c>
      <c r="K52" t="s">
        <v>41</v>
      </c>
      <c r="L52">
        <v>10</v>
      </c>
      <c r="M52" t="s">
        <v>30</v>
      </c>
      <c r="N52" t="s">
        <v>30</v>
      </c>
      <c r="O52">
        <v>91621</v>
      </c>
      <c r="P52">
        <v>0</v>
      </c>
      <c r="Q52" t="s">
        <v>31</v>
      </c>
      <c r="R52">
        <f>+YEAR(Tabla__192.168.1.8_POSEIDONSQL_APPFVT_01_SQLDevolucionesConMotivo_1[[#This Row],[dev_fecha]])</f>
        <v>2018</v>
      </c>
      <c r="S5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3" spans="1:19" x14ac:dyDescent="0.25">
      <c r="A53">
        <v>55</v>
      </c>
      <c r="B53">
        <v>2</v>
      </c>
      <c r="C53" t="s">
        <v>28</v>
      </c>
      <c r="D53">
        <v>6503751955</v>
      </c>
      <c r="E53">
        <v>4036</v>
      </c>
      <c r="F53" t="s">
        <v>38</v>
      </c>
      <c r="G53" t="s">
        <v>39</v>
      </c>
      <c r="H53">
        <v>10</v>
      </c>
      <c r="I53" t="s">
        <v>46</v>
      </c>
      <c r="J53">
        <v>10</v>
      </c>
      <c r="K53" t="s">
        <v>41</v>
      </c>
      <c r="L53">
        <v>10</v>
      </c>
      <c r="M53" t="s">
        <v>30</v>
      </c>
      <c r="N53" t="s">
        <v>30</v>
      </c>
      <c r="O53">
        <v>91621</v>
      </c>
      <c r="P53">
        <v>0</v>
      </c>
      <c r="Q53" t="s">
        <v>31</v>
      </c>
      <c r="R53">
        <f>+YEAR(Tabla__192.168.1.8_POSEIDONSQL_APPFVT_01_SQLDevolucionesConMotivo_1[[#This Row],[dev_fecha]])</f>
        <v>2018</v>
      </c>
      <c r="S5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4" spans="1:19" x14ac:dyDescent="0.25">
      <c r="A54">
        <v>55</v>
      </c>
      <c r="B54">
        <v>2</v>
      </c>
      <c r="C54" t="s">
        <v>28</v>
      </c>
      <c r="D54">
        <v>6503751955</v>
      </c>
      <c r="E54">
        <v>4036</v>
      </c>
      <c r="F54" t="s">
        <v>38</v>
      </c>
      <c r="G54" t="s">
        <v>39</v>
      </c>
      <c r="H54">
        <v>10</v>
      </c>
      <c r="I54" t="s">
        <v>46</v>
      </c>
      <c r="J54">
        <v>10</v>
      </c>
      <c r="K54" t="s">
        <v>41</v>
      </c>
      <c r="L54">
        <v>10</v>
      </c>
      <c r="M54" t="s">
        <v>30</v>
      </c>
      <c r="N54" t="s">
        <v>30</v>
      </c>
      <c r="O54">
        <v>91621</v>
      </c>
      <c r="P54">
        <v>0</v>
      </c>
      <c r="Q54" t="s">
        <v>31</v>
      </c>
      <c r="R54">
        <f>+YEAR(Tabla__192.168.1.8_POSEIDONSQL_APPFVT_01_SQLDevolucionesConMotivo_1[[#This Row],[dev_fecha]])</f>
        <v>2018</v>
      </c>
      <c r="S5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5" spans="1:19" x14ac:dyDescent="0.25">
      <c r="A55">
        <v>55</v>
      </c>
      <c r="B55">
        <v>2</v>
      </c>
      <c r="C55" t="s">
        <v>28</v>
      </c>
      <c r="D55">
        <v>6503751955</v>
      </c>
      <c r="E55">
        <v>4036</v>
      </c>
      <c r="F55" t="s">
        <v>38</v>
      </c>
      <c r="G55" t="s">
        <v>39</v>
      </c>
      <c r="H55">
        <v>10</v>
      </c>
      <c r="I55" t="s">
        <v>46</v>
      </c>
      <c r="J55">
        <v>10</v>
      </c>
      <c r="K55" t="s">
        <v>41</v>
      </c>
      <c r="L55">
        <v>10</v>
      </c>
      <c r="M55" t="s">
        <v>30</v>
      </c>
      <c r="N55" t="s">
        <v>30</v>
      </c>
      <c r="O55">
        <v>91621</v>
      </c>
      <c r="P55">
        <v>0</v>
      </c>
      <c r="Q55" t="s">
        <v>31</v>
      </c>
      <c r="R55">
        <f>+YEAR(Tabla__192.168.1.8_POSEIDONSQL_APPFVT_01_SQLDevolucionesConMotivo_1[[#This Row],[dev_fecha]])</f>
        <v>2018</v>
      </c>
      <c r="S5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6" spans="1:19" x14ac:dyDescent="0.25">
      <c r="A56">
        <v>55</v>
      </c>
      <c r="B56">
        <v>2</v>
      </c>
      <c r="C56" t="s">
        <v>28</v>
      </c>
      <c r="D56">
        <v>6503758764</v>
      </c>
      <c r="E56">
        <v>4052</v>
      </c>
      <c r="F56" t="s">
        <v>47</v>
      </c>
      <c r="G56" t="s">
        <v>48</v>
      </c>
      <c r="H56">
        <v>1</v>
      </c>
      <c r="I56" t="s">
        <v>29</v>
      </c>
      <c r="J56">
        <v>1</v>
      </c>
      <c r="K56" t="s">
        <v>37</v>
      </c>
      <c r="L56">
        <v>1</v>
      </c>
      <c r="M56" t="s">
        <v>30</v>
      </c>
      <c r="N56" t="s">
        <v>30</v>
      </c>
      <c r="O56">
        <v>91787</v>
      </c>
      <c r="P56">
        <v>0</v>
      </c>
      <c r="Q56" t="s">
        <v>31</v>
      </c>
      <c r="R56">
        <f>+YEAR(Tabla__192.168.1.8_POSEIDONSQL_APPFVT_01_SQLDevolucionesConMotivo_1[[#This Row],[dev_fecha]])</f>
        <v>2018</v>
      </c>
      <c r="S5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7" spans="1:19" x14ac:dyDescent="0.25">
      <c r="A57">
        <v>55</v>
      </c>
      <c r="B57">
        <v>2</v>
      </c>
      <c r="C57" t="s">
        <v>28</v>
      </c>
      <c r="D57">
        <v>6503763491</v>
      </c>
      <c r="E57">
        <v>4126</v>
      </c>
      <c r="F57" t="s">
        <v>38</v>
      </c>
      <c r="G57" t="s">
        <v>39</v>
      </c>
      <c r="H57">
        <v>10</v>
      </c>
      <c r="I57" t="s">
        <v>29</v>
      </c>
      <c r="J57">
        <v>10</v>
      </c>
      <c r="K57" t="s">
        <v>49</v>
      </c>
      <c r="L57">
        <v>10</v>
      </c>
      <c r="M57" t="s">
        <v>30</v>
      </c>
      <c r="N57" t="s">
        <v>30</v>
      </c>
      <c r="O57">
        <v>92033</v>
      </c>
      <c r="P57">
        <v>0</v>
      </c>
      <c r="Q57" t="s">
        <v>31</v>
      </c>
      <c r="R57">
        <f>+YEAR(Tabla__192.168.1.8_POSEIDONSQL_APPFVT_01_SQLDevolucionesConMotivo_1[[#This Row],[dev_fecha]])</f>
        <v>2018</v>
      </c>
      <c r="S5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8" spans="1:19" x14ac:dyDescent="0.25">
      <c r="A58">
        <v>55</v>
      </c>
      <c r="B58">
        <v>2</v>
      </c>
      <c r="C58" t="s">
        <v>28</v>
      </c>
      <c r="D58">
        <v>6503763491</v>
      </c>
      <c r="E58">
        <v>4126</v>
      </c>
      <c r="F58" t="s">
        <v>38</v>
      </c>
      <c r="G58" t="s">
        <v>39</v>
      </c>
      <c r="H58">
        <v>10</v>
      </c>
      <c r="I58" t="s">
        <v>29</v>
      </c>
      <c r="J58">
        <v>10</v>
      </c>
      <c r="K58" t="s">
        <v>49</v>
      </c>
      <c r="L58">
        <v>10</v>
      </c>
      <c r="M58" t="s">
        <v>30</v>
      </c>
      <c r="N58" t="s">
        <v>30</v>
      </c>
      <c r="O58">
        <v>92033</v>
      </c>
      <c r="P58">
        <v>0</v>
      </c>
      <c r="Q58" t="s">
        <v>31</v>
      </c>
      <c r="R58">
        <f>+YEAR(Tabla__192.168.1.8_POSEIDONSQL_APPFVT_01_SQLDevolucionesConMotivo_1[[#This Row],[dev_fecha]])</f>
        <v>2018</v>
      </c>
      <c r="S5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59" spans="1:19" x14ac:dyDescent="0.25">
      <c r="A59">
        <v>55</v>
      </c>
      <c r="B59">
        <v>2</v>
      </c>
      <c r="C59" t="s">
        <v>28</v>
      </c>
      <c r="D59">
        <v>6503763491</v>
      </c>
      <c r="E59">
        <v>4126</v>
      </c>
      <c r="F59" t="s">
        <v>38</v>
      </c>
      <c r="G59" t="s">
        <v>39</v>
      </c>
      <c r="H59">
        <v>10</v>
      </c>
      <c r="I59" t="s">
        <v>29</v>
      </c>
      <c r="J59">
        <v>10</v>
      </c>
      <c r="K59" t="s">
        <v>49</v>
      </c>
      <c r="L59">
        <v>10</v>
      </c>
      <c r="M59" t="s">
        <v>30</v>
      </c>
      <c r="N59" t="s">
        <v>30</v>
      </c>
      <c r="O59">
        <v>92033</v>
      </c>
      <c r="P59">
        <v>0</v>
      </c>
      <c r="Q59" t="s">
        <v>31</v>
      </c>
      <c r="R59">
        <f>+YEAR(Tabla__192.168.1.8_POSEIDONSQL_APPFVT_01_SQLDevolucionesConMotivo_1[[#This Row],[dev_fecha]])</f>
        <v>2018</v>
      </c>
      <c r="S5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0" spans="1:19" x14ac:dyDescent="0.25">
      <c r="A60">
        <v>55</v>
      </c>
      <c r="B60">
        <v>2</v>
      </c>
      <c r="C60" t="s">
        <v>28</v>
      </c>
      <c r="D60">
        <v>6503763491</v>
      </c>
      <c r="E60">
        <v>4126</v>
      </c>
      <c r="F60" t="s">
        <v>38</v>
      </c>
      <c r="G60" t="s">
        <v>39</v>
      </c>
      <c r="H60">
        <v>10</v>
      </c>
      <c r="I60" t="s">
        <v>29</v>
      </c>
      <c r="J60">
        <v>10</v>
      </c>
      <c r="K60" t="s">
        <v>49</v>
      </c>
      <c r="L60">
        <v>10</v>
      </c>
      <c r="M60" t="s">
        <v>30</v>
      </c>
      <c r="N60" t="s">
        <v>30</v>
      </c>
      <c r="O60">
        <v>92033</v>
      </c>
      <c r="P60">
        <v>0</v>
      </c>
      <c r="Q60" t="s">
        <v>31</v>
      </c>
      <c r="R60">
        <f>+YEAR(Tabla__192.168.1.8_POSEIDONSQL_APPFVT_01_SQLDevolucionesConMotivo_1[[#This Row],[dev_fecha]])</f>
        <v>2018</v>
      </c>
      <c r="S6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1" spans="1:19" x14ac:dyDescent="0.25">
      <c r="A61">
        <v>55</v>
      </c>
      <c r="B61">
        <v>2</v>
      </c>
      <c r="C61" t="s">
        <v>28</v>
      </c>
      <c r="D61">
        <v>6503763491</v>
      </c>
      <c r="E61">
        <v>4126</v>
      </c>
      <c r="F61" t="s">
        <v>38</v>
      </c>
      <c r="G61" t="s">
        <v>39</v>
      </c>
      <c r="H61">
        <v>10</v>
      </c>
      <c r="I61" t="s">
        <v>29</v>
      </c>
      <c r="J61">
        <v>10</v>
      </c>
      <c r="K61" t="s">
        <v>49</v>
      </c>
      <c r="L61">
        <v>10</v>
      </c>
      <c r="M61" t="s">
        <v>30</v>
      </c>
      <c r="N61" t="s">
        <v>30</v>
      </c>
      <c r="O61">
        <v>92033</v>
      </c>
      <c r="P61">
        <v>0</v>
      </c>
      <c r="Q61" t="s">
        <v>31</v>
      </c>
      <c r="R61">
        <f>+YEAR(Tabla__192.168.1.8_POSEIDONSQL_APPFVT_01_SQLDevolucionesConMotivo_1[[#This Row],[dev_fecha]])</f>
        <v>2018</v>
      </c>
      <c r="S6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2" spans="1:19" x14ac:dyDescent="0.25">
      <c r="A62">
        <v>55</v>
      </c>
      <c r="B62">
        <v>2</v>
      </c>
      <c r="C62" t="s">
        <v>28</v>
      </c>
      <c r="D62">
        <v>6503763491</v>
      </c>
      <c r="E62">
        <v>4126</v>
      </c>
      <c r="F62" t="s">
        <v>38</v>
      </c>
      <c r="G62" t="s">
        <v>39</v>
      </c>
      <c r="H62">
        <v>10</v>
      </c>
      <c r="I62" t="s">
        <v>29</v>
      </c>
      <c r="J62">
        <v>10</v>
      </c>
      <c r="K62" t="s">
        <v>49</v>
      </c>
      <c r="L62">
        <v>10</v>
      </c>
      <c r="M62" t="s">
        <v>30</v>
      </c>
      <c r="N62" t="s">
        <v>30</v>
      </c>
      <c r="O62">
        <v>92033</v>
      </c>
      <c r="P62">
        <v>0</v>
      </c>
      <c r="Q62" t="s">
        <v>31</v>
      </c>
      <c r="R62">
        <f>+YEAR(Tabla__192.168.1.8_POSEIDONSQL_APPFVT_01_SQLDevolucionesConMotivo_1[[#This Row],[dev_fecha]])</f>
        <v>2018</v>
      </c>
      <c r="S6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3" spans="1:19" x14ac:dyDescent="0.25">
      <c r="A63">
        <v>55</v>
      </c>
      <c r="B63">
        <v>2</v>
      </c>
      <c r="C63" t="s">
        <v>28</v>
      </c>
      <c r="D63">
        <v>6503763491</v>
      </c>
      <c r="E63">
        <v>4126</v>
      </c>
      <c r="F63" t="s">
        <v>38</v>
      </c>
      <c r="G63" t="s">
        <v>39</v>
      </c>
      <c r="H63">
        <v>10</v>
      </c>
      <c r="I63" t="s">
        <v>29</v>
      </c>
      <c r="J63">
        <v>10</v>
      </c>
      <c r="K63" t="s">
        <v>49</v>
      </c>
      <c r="L63">
        <v>10</v>
      </c>
      <c r="M63" t="s">
        <v>30</v>
      </c>
      <c r="N63" t="s">
        <v>30</v>
      </c>
      <c r="O63">
        <v>92033</v>
      </c>
      <c r="P63">
        <v>0</v>
      </c>
      <c r="Q63" t="s">
        <v>31</v>
      </c>
      <c r="R63">
        <f>+YEAR(Tabla__192.168.1.8_POSEIDONSQL_APPFVT_01_SQLDevolucionesConMotivo_1[[#This Row],[dev_fecha]])</f>
        <v>2018</v>
      </c>
      <c r="S6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4" spans="1:19" x14ac:dyDescent="0.25">
      <c r="A64">
        <v>55</v>
      </c>
      <c r="B64">
        <v>2</v>
      </c>
      <c r="C64" t="s">
        <v>28</v>
      </c>
      <c r="D64">
        <v>6503763491</v>
      </c>
      <c r="E64">
        <v>4126</v>
      </c>
      <c r="F64" t="s">
        <v>38</v>
      </c>
      <c r="G64" t="s">
        <v>39</v>
      </c>
      <c r="H64">
        <v>10</v>
      </c>
      <c r="I64" t="s">
        <v>29</v>
      </c>
      <c r="J64">
        <v>10</v>
      </c>
      <c r="K64" t="s">
        <v>49</v>
      </c>
      <c r="L64">
        <v>10</v>
      </c>
      <c r="M64" t="s">
        <v>30</v>
      </c>
      <c r="N64" t="s">
        <v>30</v>
      </c>
      <c r="O64">
        <v>92033</v>
      </c>
      <c r="P64">
        <v>0</v>
      </c>
      <c r="Q64" t="s">
        <v>31</v>
      </c>
      <c r="R64">
        <f>+YEAR(Tabla__192.168.1.8_POSEIDONSQL_APPFVT_01_SQLDevolucionesConMotivo_1[[#This Row],[dev_fecha]])</f>
        <v>2018</v>
      </c>
      <c r="S6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5" spans="1:19" x14ac:dyDescent="0.25">
      <c r="A65">
        <v>55</v>
      </c>
      <c r="B65">
        <v>2</v>
      </c>
      <c r="C65" t="s">
        <v>28</v>
      </c>
      <c r="D65">
        <v>6503763491</v>
      </c>
      <c r="E65">
        <v>4126</v>
      </c>
      <c r="F65" t="s">
        <v>38</v>
      </c>
      <c r="G65" t="s">
        <v>39</v>
      </c>
      <c r="H65">
        <v>10</v>
      </c>
      <c r="I65" t="s">
        <v>29</v>
      </c>
      <c r="J65">
        <v>10</v>
      </c>
      <c r="K65" t="s">
        <v>49</v>
      </c>
      <c r="L65">
        <v>10</v>
      </c>
      <c r="M65" t="s">
        <v>30</v>
      </c>
      <c r="N65" t="s">
        <v>30</v>
      </c>
      <c r="O65">
        <v>92033</v>
      </c>
      <c r="P65">
        <v>0</v>
      </c>
      <c r="Q65" t="s">
        <v>31</v>
      </c>
      <c r="R65">
        <f>+YEAR(Tabla__192.168.1.8_POSEIDONSQL_APPFVT_01_SQLDevolucionesConMotivo_1[[#This Row],[dev_fecha]])</f>
        <v>2018</v>
      </c>
      <c r="S6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6" spans="1:19" x14ac:dyDescent="0.25">
      <c r="A66">
        <v>55</v>
      </c>
      <c r="B66">
        <v>2</v>
      </c>
      <c r="C66" t="s">
        <v>28</v>
      </c>
      <c r="D66">
        <v>6503763491</v>
      </c>
      <c r="E66">
        <v>4126</v>
      </c>
      <c r="F66" t="s">
        <v>38</v>
      </c>
      <c r="G66" t="s">
        <v>39</v>
      </c>
      <c r="H66">
        <v>10</v>
      </c>
      <c r="I66" t="s">
        <v>29</v>
      </c>
      <c r="J66">
        <v>10</v>
      </c>
      <c r="K66" t="s">
        <v>49</v>
      </c>
      <c r="L66">
        <v>10</v>
      </c>
      <c r="M66" t="s">
        <v>30</v>
      </c>
      <c r="N66" t="s">
        <v>30</v>
      </c>
      <c r="O66">
        <v>92033</v>
      </c>
      <c r="P66">
        <v>0</v>
      </c>
      <c r="Q66" t="s">
        <v>31</v>
      </c>
      <c r="R66">
        <f>+YEAR(Tabla__192.168.1.8_POSEIDONSQL_APPFVT_01_SQLDevolucionesConMotivo_1[[#This Row],[dev_fecha]])</f>
        <v>2018</v>
      </c>
      <c r="S6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7" spans="1:19" x14ac:dyDescent="0.25">
      <c r="A67">
        <v>55</v>
      </c>
      <c r="B67">
        <v>2</v>
      </c>
      <c r="C67" t="s">
        <v>28</v>
      </c>
      <c r="D67">
        <v>6503763491</v>
      </c>
      <c r="E67">
        <v>4126</v>
      </c>
      <c r="F67" t="s">
        <v>38</v>
      </c>
      <c r="G67" t="s">
        <v>39</v>
      </c>
      <c r="H67">
        <v>20</v>
      </c>
      <c r="I67" t="s">
        <v>29</v>
      </c>
      <c r="J67">
        <v>10</v>
      </c>
      <c r="K67" t="s">
        <v>49</v>
      </c>
      <c r="L67">
        <v>10</v>
      </c>
      <c r="M67" t="s">
        <v>30</v>
      </c>
      <c r="N67" t="s">
        <v>30</v>
      </c>
      <c r="O67">
        <v>92033</v>
      </c>
      <c r="P67">
        <v>0</v>
      </c>
      <c r="Q67" t="s">
        <v>31</v>
      </c>
      <c r="R67">
        <f>+YEAR(Tabla__192.168.1.8_POSEIDONSQL_APPFVT_01_SQLDevolucionesConMotivo_1[[#This Row],[dev_fecha]])</f>
        <v>2018</v>
      </c>
      <c r="S6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8" spans="1:19" x14ac:dyDescent="0.25">
      <c r="A68">
        <v>55</v>
      </c>
      <c r="B68">
        <v>2</v>
      </c>
      <c r="C68" t="s">
        <v>28</v>
      </c>
      <c r="D68">
        <v>6503763491</v>
      </c>
      <c r="E68">
        <v>4126</v>
      </c>
      <c r="F68" t="s">
        <v>38</v>
      </c>
      <c r="G68" t="s">
        <v>39</v>
      </c>
      <c r="H68">
        <v>20</v>
      </c>
      <c r="I68" t="s">
        <v>29</v>
      </c>
      <c r="J68">
        <v>10</v>
      </c>
      <c r="K68" t="s">
        <v>49</v>
      </c>
      <c r="L68">
        <v>10</v>
      </c>
      <c r="M68" t="s">
        <v>30</v>
      </c>
      <c r="N68" t="s">
        <v>30</v>
      </c>
      <c r="O68">
        <v>92033</v>
      </c>
      <c r="P68">
        <v>0</v>
      </c>
      <c r="Q68" t="s">
        <v>31</v>
      </c>
      <c r="R68">
        <f>+YEAR(Tabla__192.168.1.8_POSEIDONSQL_APPFVT_01_SQLDevolucionesConMotivo_1[[#This Row],[dev_fecha]])</f>
        <v>2018</v>
      </c>
      <c r="S6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69" spans="1:19" x14ac:dyDescent="0.25">
      <c r="A69">
        <v>55</v>
      </c>
      <c r="B69">
        <v>2</v>
      </c>
      <c r="C69" t="s">
        <v>28</v>
      </c>
      <c r="D69">
        <v>6503763491</v>
      </c>
      <c r="E69">
        <v>4126</v>
      </c>
      <c r="F69" t="s">
        <v>38</v>
      </c>
      <c r="G69" t="s">
        <v>39</v>
      </c>
      <c r="H69">
        <v>10</v>
      </c>
      <c r="I69" t="s">
        <v>29</v>
      </c>
      <c r="J69">
        <v>10</v>
      </c>
      <c r="K69" t="s">
        <v>49</v>
      </c>
      <c r="L69">
        <v>10</v>
      </c>
      <c r="M69" t="s">
        <v>30</v>
      </c>
      <c r="N69" t="s">
        <v>30</v>
      </c>
      <c r="O69">
        <v>92033</v>
      </c>
      <c r="P69">
        <v>0</v>
      </c>
      <c r="Q69" t="s">
        <v>31</v>
      </c>
      <c r="R69">
        <f>+YEAR(Tabla__192.168.1.8_POSEIDONSQL_APPFVT_01_SQLDevolucionesConMotivo_1[[#This Row],[dev_fecha]])</f>
        <v>2018</v>
      </c>
      <c r="S6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0" spans="1:19" x14ac:dyDescent="0.25">
      <c r="A70">
        <v>55</v>
      </c>
      <c r="B70">
        <v>2</v>
      </c>
      <c r="C70" t="s">
        <v>28</v>
      </c>
      <c r="D70">
        <v>6503763491</v>
      </c>
      <c r="E70">
        <v>4126</v>
      </c>
      <c r="F70" t="s">
        <v>38</v>
      </c>
      <c r="G70" t="s">
        <v>39</v>
      </c>
      <c r="H70">
        <v>10</v>
      </c>
      <c r="I70" t="s">
        <v>29</v>
      </c>
      <c r="J70">
        <v>10</v>
      </c>
      <c r="K70" t="s">
        <v>49</v>
      </c>
      <c r="L70">
        <v>10</v>
      </c>
      <c r="M70" t="s">
        <v>30</v>
      </c>
      <c r="N70" t="s">
        <v>30</v>
      </c>
      <c r="O70">
        <v>92033</v>
      </c>
      <c r="P70">
        <v>0</v>
      </c>
      <c r="Q70" t="s">
        <v>31</v>
      </c>
      <c r="R70">
        <f>+YEAR(Tabla__192.168.1.8_POSEIDONSQL_APPFVT_01_SQLDevolucionesConMotivo_1[[#This Row],[dev_fecha]])</f>
        <v>2018</v>
      </c>
      <c r="S7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1" spans="1:19" x14ac:dyDescent="0.25">
      <c r="A71">
        <v>55</v>
      </c>
      <c r="B71">
        <v>2</v>
      </c>
      <c r="C71" t="s">
        <v>28</v>
      </c>
      <c r="D71">
        <v>6503779217</v>
      </c>
      <c r="E71">
        <v>4187</v>
      </c>
      <c r="F71" t="s">
        <v>35</v>
      </c>
      <c r="G71" t="s">
        <v>36</v>
      </c>
      <c r="H71">
        <v>1</v>
      </c>
      <c r="I71" t="s">
        <v>97</v>
      </c>
      <c r="J71">
        <v>1</v>
      </c>
      <c r="K71" t="s">
        <v>89</v>
      </c>
      <c r="L71">
        <v>1</v>
      </c>
      <c r="M71" t="s">
        <v>30</v>
      </c>
      <c r="N71" t="s">
        <v>30</v>
      </c>
      <c r="O71">
        <v>92142</v>
      </c>
      <c r="P71">
        <v>0</v>
      </c>
      <c r="Q71" t="s">
        <v>31</v>
      </c>
      <c r="R71">
        <f>+YEAR(Tabla__192.168.1.8_POSEIDONSQL_APPFVT_01_SQLDevolucionesConMotivo_1[[#This Row],[dev_fecha]])</f>
        <v>2018</v>
      </c>
      <c r="S7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2" spans="1:19" x14ac:dyDescent="0.25">
      <c r="A72">
        <v>55</v>
      </c>
      <c r="B72">
        <v>2</v>
      </c>
      <c r="C72" t="s">
        <v>28</v>
      </c>
      <c r="D72">
        <v>6503786479</v>
      </c>
      <c r="E72">
        <v>4267</v>
      </c>
      <c r="F72" t="s">
        <v>98</v>
      </c>
      <c r="G72" t="s">
        <v>99</v>
      </c>
      <c r="H72">
        <v>1</v>
      </c>
      <c r="I72" t="s">
        <v>32</v>
      </c>
      <c r="J72">
        <v>1</v>
      </c>
      <c r="K72" t="s">
        <v>100</v>
      </c>
      <c r="L72">
        <v>1</v>
      </c>
      <c r="M72" t="s">
        <v>30</v>
      </c>
      <c r="N72" t="s">
        <v>30</v>
      </c>
      <c r="O72">
        <v>92717</v>
      </c>
      <c r="P72">
        <v>0</v>
      </c>
      <c r="Q72" t="s">
        <v>31</v>
      </c>
      <c r="R72">
        <f>+YEAR(Tabla__192.168.1.8_POSEIDONSQL_APPFVT_01_SQLDevolucionesConMotivo_1[[#This Row],[dev_fecha]])</f>
        <v>2018</v>
      </c>
      <c r="S7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3" spans="1:19" x14ac:dyDescent="0.25">
      <c r="A73">
        <v>55</v>
      </c>
      <c r="B73">
        <v>2</v>
      </c>
      <c r="C73" t="s">
        <v>28</v>
      </c>
      <c r="D73">
        <v>6503791581</v>
      </c>
      <c r="E73">
        <v>4325</v>
      </c>
      <c r="F73" t="s">
        <v>83</v>
      </c>
      <c r="G73" t="s">
        <v>84</v>
      </c>
      <c r="H73">
        <v>1</v>
      </c>
      <c r="I73" t="s">
        <v>32</v>
      </c>
      <c r="J73">
        <v>1</v>
      </c>
      <c r="K73" t="s">
        <v>100</v>
      </c>
      <c r="L73">
        <v>1</v>
      </c>
      <c r="M73" t="s">
        <v>30</v>
      </c>
      <c r="N73" t="s">
        <v>30</v>
      </c>
      <c r="O73">
        <v>92762</v>
      </c>
      <c r="P73">
        <v>0</v>
      </c>
      <c r="Q73" t="s">
        <v>31</v>
      </c>
      <c r="R73">
        <f>+YEAR(Tabla__192.168.1.8_POSEIDONSQL_APPFVT_01_SQLDevolucionesConMotivo_1[[#This Row],[dev_fecha]])</f>
        <v>2018</v>
      </c>
      <c r="S7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4" spans="1:19" x14ac:dyDescent="0.25">
      <c r="A74">
        <v>55</v>
      </c>
      <c r="B74">
        <v>2</v>
      </c>
      <c r="C74" t="s">
        <v>28</v>
      </c>
      <c r="D74">
        <v>6503804029</v>
      </c>
      <c r="E74">
        <v>4443</v>
      </c>
      <c r="F74" t="s">
        <v>72</v>
      </c>
      <c r="G74" t="s">
        <v>73</v>
      </c>
      <c r="H74">
        <v>1</v>
      </c>
      <c r="I74" t="s">
        <v>97</v>
      </c>
      <c r="J74">
        <v>1</v>
      </c>
      <c r="K74" t="s">
        <v>103</v>
      </c>
      <c r="L74">
        <v>1</v>
      </c>
      <c r="M74" t="s">
        <v>30</v>
      </c>
      <c r="N74" t="s">
        <v>30</v>
      </c>
      <c r="O74">
        <v>93095</v>
      </c>
      <c r="P74">
        <v>0</v>
      </c>
      <c r="Q74" t="s">
        <v>31</v>
      </c>
      <c r="R74">
        <f>+YEAR(Tabla__192.168.1.8_POSEIDONSQL_APPFVT_01_SQLDevolucionesConMotivo_1[[#This Row],[dev_fecha]])</f>
        <v>2018</v>
      </c>
      <c r="S7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5" spans="1:19" x14ac:dyDescent="0.25">
      <c r="A75">
        <v>55</v>
      </c>
      <c r="B75">
        <v>2</v>
      </c>
      <c r="C75" t="s">
        <v>28</v>
      </c>
      <c r="D75">
        <v>6503805320</v>
      </c>
      <c r="E75">
        <v>4443</v>
      </c>
      <c r="F75" t="s">
        <v>101</v>
      </c>
      <c r="G75" t="s">
        <v>102</v>
      </c>
      <c r="H75">
        <v>1</v>
      </c>
      <c r="I75" t="s">
        <v>29</v>
      </c>
      <c r="J75">
        <v>1</v>
      </c>
      <c r="K75" t="s">
        <v>103</v>
      </c>
      <c r="L75">
        <v>1</v>
      </c>
      <c r="M75" t="s">
        <v>30</v>
      </c>
      <c r="N75" t="s">
        <v>30</v>
      </c>
      <c r="O75">
        <v>93105</v>
      </c>
      <c r="P75">
        <v>0</v>
      </c>
      <c r="Q75" t="s">
        <v>31</v>
      </c>
      <c r="R75">
        <f>+YEAR(Tabla__192.168.1.8_POSEIDONSQL_APPFVT_01_SQLDevolucionesConMotivo_1[[#This Row],[dev_fecha]])</f>
        <v>2018</v>
      </c>
      <c r="S7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76" spans="1:19" x14ac:dyDescent="0.25">
      <c r="A76">
        <v>55</v>
      </c>
      <c r="B76">
        <v>2</v>
      </c>
      <c r="C76" t="s">
        <v>28</v>
      </c>
      <c r="D76">
        <v>6503810559</v>
      </c>
      <c r="E76">
        <v>4501</v>
      </c>
      <c r="F76" t="s">
        <v>104</v>
      </c>
      <c r="G76" t="s">
        <v>105</v>
      </c>
      <c r="H76">
        <v>1</v>
      </c>
      <c r="I76" t="s">
        <v>29</v>
      </c>
      <c r="J76">
        <v>3</v>
      </c>
      <c r="K76" t="s">
        <v>106</v>
      </c>
      <c r="L76">
        <v>1</v>
      </c>
      <c r="M76" t="s">
        <v>30</v>
      </c>
      <c r="N76" t="s">
        <v>30</v>
      </c>
      <c r="O76">
        <v>93336</v>
      </c>
      <c r="P76">
        <v>0</v>
      </c>
      <c r="Q76" t="s">
        <v>31</v>
      </c>
      <c r="R76">
        <f>+YEAR(Tabla__192.168.1.8_POSEIDONSQL_APPFVT_01_SQLDevolucionesConMotivo_1[[#This Row],[dev_fecha]])</f>
        <v>2018</v>
      </c>
      <c r="S7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77" spans="1:19" x14ac:dyDescent="0.25">
      <c r="A77">
        <v>55</v>
      </c>
      <c r="B77">
        <v>2</v>
      </c>
      <c r="C77" t="s">
        <v>28</v>
      </c>
      <c r="D77">
        <v>6503818333</v>
      </c>
      <c r="E77">
        <v>4616</v>
      </c>
      <c r="F77" t="s">
        <v>107</v>
      </c>
      <c r="G77" t="s">
        <v>108</v>
      </c>
      <c r="H77">
        <v>60</v>
      </c>
      <c r="I77" t="s">
        <v>29</v>
      </c>
      <c r="J77">
        <v>50</v>
      </c>
      <c r="K77" t="s">
        <v>109</v>
      </c>
      <c r="L77">
        <v>49</v>
      </c>
      <c r="M77" t="s">
        <v>30</v>
      </c>
      <c r="N77" t="s">
        <v>30</v>
      </c>
      <c r="O77">
        <v>93437</v>
      </c>
      <c r="P77">
        <v>0</v>
      </c>
      <c r="Q77" t="s">
        <v>31</v>
      </c>
      <c r="R77">
        <f>+YEAR(Tabla__192.168.1.8_POSEIDONSQL_APPFVT_01_SQLDevolucionesConMotivo_1[[#This Row],[dev_fecha]])</f>
        <v>2018</v>
      </c>
      <c r="S7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78" spans="1:19" x14ac:dyDescent="0.25">
      <c r="A78">
        <v>55</v>
      </c>
      <c r="B78">
        <v>2</v>
      </c>
      <c r="C78" t="s">
        <v>28</v>
      </c>
      <c r="D78">
        <v>6503830090</v>
      </c>
      <c r="E78">
        <v>4710</v>
      </c>
      <c r="F78" t="s">
        <v>80</v>
      </c>
      <c r="G78" t="s">
        <v>81</v>
      </c>
      <c r="H78">
        <v>1</v>
      </c>
      <c r="I78" t="s">
        <v>33</v>
      </c>
      <c r="J78">
        <v>1</v>
      </c>
      <c r="K78" t="s">
        <v>110</v>
      </c>
      <c r="L78">
        <v>1</v>
      </c>
      <c r="M78" t="s">
        <v>30</v>
      </c>
      <c r="N78" t="s">
        <v>30</v>
      </c>
      <c r="O78">
        <v>0</v>
      </c>
      <c r="P78">
        <v>0</v>
      </c>
      <c r="Q78" t="s">
        <v>34</v>
      </c>
      <c r="R78">
        <f>+YEAR(Tabla__192.168.1.8_POSEIDONSQL_APPFVT_01_SQLDevolucionesConMotivo_1[[#This Row],[dev_fecha]])</f>
        <v>2018</v>
      </c>
      <c r="S7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79" spans="1:19" x14ac:dyDescent="0.25">
      <c r="A79">
        <v>55</v>
      </c>
      <c r="B79">
        <v>2</v>
      </c>
      <c r="C79" t="s">
        <v>111</v>
      </c>
      <c r="D79">
        <v>776770</v>
      </c>
      <c r="E79">
        <v>4043</v>
      </c>
      <c r="F79" t="s">
        <v>98</v>
      </c>
      <c r="G79" t="s">
        <v>99</v>
      </c>
      <c r="H79">
        <v>1</v>
      </c>
      <c r="I79" t="s">
        <v>75</v>
      </c>
      <c r="J79">
        <v>1</v>
      </c>
      <c r="K79" t="s">
        <v>142</v>
      </c>
      <c r="L79">
        <v>1</v>
      </c>
      <c r="M79" t="s">
        <v>30</v>
      </c>
      <c r="N79" t="s">
        <v>30</v>
      </c>
      <c r="O79">
        <v>91669</v>
      </c>
      <c r="P79">
        <v>0</v>
      </c>
      <c r="Q79" t="s">
        <v>31</v>
      </c>
      <c r="R79">
        <f>+YEAR(Tabla__192.168.1.8_POSEIDONSQL_APPFVT_01_SQLDevolucionesConMotivo_1[[#This Row],[dev_fecha]])</f>
        <v>2018</v>
      </c>
      <c r="S7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80" spans="1:19" x14ac:dyDescent="0.25">
      <c r="A80">
        <v>55</v>
      </c>
      <c r="B80">
        <v>2</v>
      </c>
      <c r="C80" t="s">
        <v>111</v>
      </c>
      <c r="D80">
        <v>812933</v>
      </c>
      <c r="E80">
        <v>4563</v>
      </c>
      <c r="F80" t="s">
        <v>143</v>
      </c>
      <c r="G80" t="s">
        <v>144</v>
      </c>
      <c r="H80">
        <v>1</v>
      </c>
      <c r="I80" t="s">
        <v>114</v>
      </c>
      <c r="J80">
        <v>1</v>
      </c>
      <c r="K80" t="s">
        <v>60</v>
      </c>
      <c r="L80">
        <v>1</v>
      </c>
      <c r="M80" t="s">
        <v>30</v>
      </c>
      <c r="N80" t="s">
        <v>30</v>
      </c>
      <c r="O80">
        <v>93391</v>
      </c>
      <c r="P80">
        <v>0</v>
      </c>
      <c r="Q80" t="s">
        <v>31</v>
      </c>
      <c r="R80">
        <f>+YEAR(Tabla__192.168.1.8_POSEIDONSQL_APPFVT_01_SQLDevolucionesConMotivo_1[[#This Row],[dev_fecha]])</f>
        <v>2018</v>
      </c>
      <c r="S8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1" spans="1:19" x14ac:dyDescent="0.25">
      <c r="A81">
        <v>55</v>
      </c>
      <c r="B81">
        <v>2</v>
      </c>
      <c r="C81" t="s">
        <v>111</v>
      </c>
      <c r="D81">
        <v>814940</v>
      </c>
      <c r="E81">
        <v>4563</v>
      </c>
      <c r="F81" t="s">
        <v>145</v>
      </c>
      <c r="G81" t="s">
        <v>146</v>
      </c>
      <c r="H81">
        <v>1</v>
      </c>
      <c r="I81" t="s">
        <v>114</v>
      </c>
      <c r="J81">
        <v>1</v>
      </c>
      <c r="K81" t="s">
        <v>60</v>
      </c>
      <c r="L81">
        <v>1</v>
      </c>
      <c r="M81" t="s">
        <v>30</v>
      </c>
      <c r="N81" t="s">
        <v>30</v>
      </c>
      <c r="O81">
        <v>93390</v>
      </c>
      <c r="P81">
        <v>0</v>
      </c>
      <c r="Q81" t="s">
        <v>31</v>
      </c>
      <c r="R81">
        <f>+YEAR(Tabla__192.168.1.8_POSEIDONSQL_APPFVT_01_SQLDevolucionesConMotivo_1[[#This Row],[dev_fecha]])</f>
        <v>2018</v>
      </c>
      <c r="S8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2" spans="1:19" x14ac:dyDescent="0.25">
      <c r="A82">
        <v>55</v>
      </c>
      <c r="B82">
        <v>2</v>
      </c>
      <c r="C82" t="s">
        <v>111</v>
      </c>
      <c r="D82">
        <v>816155</v>
      </c>
      <c r="E82">
        <v>4595</v>
      </c>
      <c r="F82" t="s">
        <v>98</v>
      </c>
      <c r="G82" t="s">
        <v>99</v>
      </c>
      <c r="H82">
        <v>1</v>
      </c>
      <c r="I82" t="s">
        <v>114</v>
      </c>
      <c r="J82">
        <v>1</v>
      </c>
      <c r="K82" t="s">
        <v>60</v>
      </c>
      <c r="L82">
        <v>1</v>
      </c>
      <c r="M82" t="s">
        <v>30</v>
      </c>
      <c r="N82" t="s">
        <v>30</v>
      </c>
      <c r="O82">
        <v>93389</v>
      </c>
      <c r="P82">
        <v>0</v>
      </c>
      <c r="Q82" t="s">
        <v>31</v>
      </c>
      <c r="R82">
        <f>+YEAR(Tabla__192.168.1.8_POSEIDONSQL_APPFVT_01_SQLDevolucionesConMotivo_1[[#This Row],[dev_fecha]])</f>
        <v>2018</v>
      </c>
      <c r="S8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3" spans="1:19" x14ac:dyDescent="0.25">
      <c r="A83">
        <v>55</v>
      </c>
      <c r="B83">
        <v>2</v>
      </c>
      <c r="C83" t="s">
        <v>111</v>
      </c>
      <c r="D83">
        <v>820885</v>
      </c>
      <c r="E83">
        <v>4661</v>
      </c>
      <c r="F83" t="s">
        <v>112</v>
      </c>
      <c r="G83" t="s">
        <v>113</v>
      </c>
      <c r="H83">
        <v>1</v>
      </c>
      <c r="I83" t="s">
        <v>33</v>
      </c>
      <c r="J83">
        <v>1</v>
      </c>
      <c r="K83" t="s">
        <v>110</v>
      </c>
      <c r="L83">
        <v>1</v>
      </c>
      <c r="M83" t="s">
        <v>30</v>
      </c>
      <c r="N83" t="s">
        <v>30</v>
      </c>
      <c r="O83">
        <v>0</v>
      </c>
      <c r="P83">
        <v>0</v>
      </c>
      <c r="Q83" t="s">
        <v>34</v>
      </c>
      <c r="R83">
        <f>+YEAR(Tabla__192.168.1.8_POSEIDONSQL_APPFVT_01_SQLDevolucionesConMotivo_1[[#This Row],[dev_fecha]])</f>
        <v>2018</v>
      </c>
      <c r="S8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4" spans="1:19" x14ac:dyDescent="0.25">
      <c r="A84">
        <v>55</v>
      </c>
      <c r="B84">
        <v>2</v>
      </c>
      <c r="C84" t="s">
        <v>111</v>
      </c>
      <c r="D84">
        <v>827219</v>
      </c>
      <c r="E84">
        <v>4773</v>
      </c>
      <c r="F84" t="s">
        <v>147</v>
      </c>
      <c r="G84" t="s">
        <v>148</v>
      </c>
      <c r="H84">
        <v>1</v>
      </c>
      <c r="I84" t="s">
        <v>33</v>
      </c>
      <c r="J84">
        <v>1</v>
      </c>
      <c r="K84" t="s">
        <v>64</v>
      </c>
      <c r="L84">
        <v>1</v>
      </c>
      <c r="M84" t="s">
        <v>30</v>
      </c>
      <c r="N84" t="s">
        <v>30</v>
      </c>
      <c r="O84">
        <v>0</v>
      </c>
      <c r="P84">
        <v>0</v>
      </c>
      <c r="Q84" t="s">
        <v>34</v>
      </c>
      <c r="R84">
        <f>+YEAR(Tabla__192.168.1.8_POSEIDONSQL_APPFVT_01_SQLDevolucionesConMotivo_1[[#This Row],[dev_fecha]])</f>
        <v>2018</v>
      </c>
      <c r="S8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5" spans="1:19" x14ac:dyDescent="0.25">
      <c r="A85">
        <v>55</v>
      </c>
      <c r="B85">
        <v>2</v>
      </c>
      <c r="C85" t="s">
        <v>149</v>
      </c>
      <c r="D85">
        <v>430753</v>
      </c>
      <c r="E85">
        <v>4208</v>
      </c>
      <c r="F85" t="s">
        <v>67</v>
      </c>
      <c r="G85" t="s">
        <v>68</v>
      </c>
      <c r="H85">
        <v>15</v>
      </c>
      <c r="I85" t="s">
        <v>32</v>
      </c>
      <c r="J85">
        <v>8</v>
      </c>
      <c r="K85" t="s">
        <v>85</v>
      </c>
      <c r="L85">
        <v>15</v>
      </c>
      <c r="M85" t="s">
        <v>30</v>
      </c>
      <c r="N85" t="s">
        <v>30</v>
      </c>
      <c r="O85">
        <v>92422</v>
      </c>
      <c r="P85">
        <v>0</v>
      </c>
      <c r="Q85" t="s">
        <v>31</v>
      </c>
      <c r="R85">
        <f>+YEAR(Tabla__192.168.1.8_POSEIDONSQL_APPFVT_01_SQLDevolucionesConMotivo_1[[#This Row],[dev_fecha]])</f>
        <v>2018</v>
      </c>
      <c r="S8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86" spans="1:19" x14ac:dyDescent="0.25">
      <c r="A86">
        <v>55</v>
      </c>
      <c r="B86">
        <v>2</v>
      </c>
      <c r="C86" t="s">
        <v>50</v>
      </c>
      <c r="D86">
        <v>1750537946</v>
      </c>
      <c r="E86">
        <v>4141</v>
      </c>
      <c r="F86" t="s">
        <v>70</v>
      </c>
      <c r="G86" t="s">
        <v>71</v>
      </c>
      <c r="H86">
        <v>1</v>
      </c>
      <c r="I86" t="s">
        <v>114</v>
      </c>
      <c r="J86">
        <v>1</v>
      </c>
      <c r="K86" t="s">
        <v>49</v>
      </c>
      <c r="L86">
        <v>1</v>
      </c>
      <c r="M86" t="s">
        <v>30</v>
      </c>
      <c r="N86" t="s">
        <v>30</v>
      </c>
      <c r="O86">
        <v>92090</v>
      </c>
      <c r="P86">
        <v>0</v>
      </c>
      <c r="Q86" t="s">
        <v>31</v>
      </c>
      <c r="R86">
        <f>+YEAR(Tabla__192.168.1.8_POSEIDONSQL_APPFVT_01_SQLDevolucionesConMotivo_1[[#This Row],[dev_fecha]])</f>
        <v>2018</v>
      </c>
      <c r="S86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87" spans="1:19" x14ac:dyDescent="0.25">
      <c r="A87">
        <v>55</v>
      </c>
      <c r="B87">
        <v>2</v>
      </c>
      <c r="C87" t="s">
        <v>50</v>
      </c>
      <c r="D87">
        <v>1750538989</v>
      </c>
      <c r="E87">
        <v>4555</v>
      </c>
      <c r="F87" t="s">
        <v>58</v>
      </c>
      <c r="G87" t="s">
        <v>59</v>
      </c>
      <c r="H87">
        <v>20</v>
      </c>
      <c r="I87" t="s">
        <v>32</v>
      </c>
      <c r="J87">
        <v>20</v>
      </c>
      <c r="K87" t="s">
        <v>60</v>
      </c>
      <c r="L87">
        <v>19</v>
      </c>
      <c r="M87" t="s">
        <v>30</v>
      </c>
      <c r="N87" t="s">
        <v>30</v>
      </c>
      <c r="O87">
        <v>93384</v>
      </c>
      <c r="P87">
        <v>0</v>
      </c>
      <c r="Q87" t="s">
        <v>31</v>
      </c>
      <c r="R87">
        <f>+YEAR(Tabla__192.168.1.8_POSEIDONSQL_APPFVT_01_SQLDevolucionesConMotivo_1[[#This Row],[dev_fecha]])</f>
        <v>2018</v>
      </c>
      <c r="S87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88" spans="1:19" x14ac:dyDescent="0.25">
      <c r="A88">
        <v>55</v>
      </c>
      <c r="B88">
        <v>2</v>
      </c>
      <c r="C88" t="s">
        <v>50</v>
      </c>
      <c r="D88">
        <v>4450422096</v>
      </c>
      <c r="E88">
        <v>4395</v>
      </c>
      <c r="F88" t="s">
        <v>51</v>
      </c>
      <c r="G88" t="s">
        <v>52</v>
      </c>
      <c r="H88">
        <v>46</v>
      </c>
      <c r="I88" t="s">
        <v>33</v>
      </c>
      <c r="J88">
        <v>46</v>
      </c>
      <c r="K88" t="s">
        <v>53</v>
      </c>
      <c r="L88">
        <v>46</v>
      </c>
      <c r="M88" t="s">
        <v>30</v>
      </c>
      <c r="N88" t="s">
        <v>30</v>
      </c>
      <c r="O88">
        <v>92958</v>
      </c>
      <c r="P88">
        <v>0</v>
      </c>
      <c r="Q88" t="s">
        <v>34</v>
      </c>
      <c r="R88">
        <f>+YEAR(Tabla__192.168.1.8_POSEIDONSQL_APPFVT_01_SQLDevolucionesConMotivo_1[[#This Row],[dev_fecha]])</f>
        <v>2018</v>
      </c>
      <c r="S88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89" spans="1:19" x14ac:dyDescent="0.25">
      <c r="A89">
        <v>55</v>
      </c>
      <c r="B89">
        <v>2</v>
      </c>
      <c r="C89" t="s">
        <v>50</v>
      </c>
      <c r="D89">
        <v>4450422096</v>
      </c>
      <c r="E89">
        <v>4395</v>
      </c>
      <c r="F89" t="s">
        <v>56</v>
      </c>
      <c r="G89" t="s">
        <v>57</v>
      </c>
      <c r="H89">
        <v>31</v>
      </c>
      <c r="I89" t="s">
        <v>33</v>
      </c>
      <c r="J89">
        <v>26</v>
      </c>
      <c r="K89" t="s">
        <v>53</v>
      </c>
      <c r="L89">
        <v>31</v>
      </c>
      <c r="M89" t="s">
        <v>30</v>
      </c>
      <c r="N89" t="s">
        <v>30</v>
      </c>
      <c r="O89">
        <v>92958</v>
      </c>
      <c r="P89">
        <v>0</v>
      </c>
      <c r="Q89" t="s">
        <v>34</v>
      </c>
      <c r="R89">
        <f>+YEAR(Tabla__192.168.1.8_POSEIDONSQL_APPFVT_01_SQLDevolucionesConMotivo_1[[#This Row],[dev_fecha]])</f>
        <v>2018</v>
      </c>
      <c r="S89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90" spans="1:19" x14ac:dyDescent="0.25">
      <c r="A90">
        <v>55</v>
      </c>
      <c r="B90">
        <v>2</v>
      </c>
      <c r="C90" t="s">
        <v>50</v>
      </c>
      <c r="D90">
        <v>4450422096</v>
      </c>
      <c r="E90">
        <v>4395</v>
      </c>
      <c r="F90" t="s">
        <v>54</v>
      </c>
      <c r="G90" t="s">
        <v>55</v>
      </c>
      <c r="H90">
        <v>26</v>
      </c>
      <c r="I90" t="s">
        <v>33</v>
      </c>
      <c r="J90">
        <v>31</v>
      </c>
      <c r="K90" t="s">
        <v>53</v>
      </c>
      <c r="L90">
        <v>26</v>
      </c>
      <c r="M90" t="s">
        <v>30</v>
      </c>
      <c r="N90" t="s">
        <v>30</v>
      </c>
      <c r="O90">
        <v>92958</v>
      </c>
      <c r="P90">
        <v>0</v>
      </c>
      <c r="Q90" t="s">
        <v>34</v>
      </c>
      <c r="R90">
        <f>+YEAR(Tabla__192.168.1.8_POSEIDONSQL_APPFVT_01_SQLDevolucionesConMotivo_1[[#This Row],[dev_fecha]])</f>
        <v>2018</v>
      </c>
      <c r="S90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91" spans="1:19" x14ac:dyDescent="0.25">
      <c r="A91">
        <v>55</v>
      </c>
      <c r="B91">
        <v>2</v>
      </c>
      <c r="C91" t="s">
        <v>50</v>
      </c>
      <c r="D91">
        <v>8100460296</v>
      </c>
      <c r="E91">
        <v>4766</v>
      </c>
      <c r="F91" t="s">
        <v>61</v>
      </c>
      <c r="G91" t="s">
        <v>62</v>
      </c>
      <c r="H91">
        <v>33</v>
      </c>
      <c r="I91" t="s">
        <v>63</v>
      </c>
      <c r="J91">
        <v>4</v>
      </c>
      <c r="K91" t="s">
        <v>64</v>
      </c>
      <c r="L91">
        <v>4</v>
      </c>
      <c r="M91" t="s">
        <v>30</v>
      </c>
      <c r="N91" t="s">
        <v>30</v>
      </c>
      <c r="O91">
        <v>93699</v>
      </c>
      <c r="P91">
        <v>0</v>
      </c>
      <c r="Q91" t="s">
        <v>31</v>
      </c>
      <c r="R91">
        <f>+YEAR(Tabla__192.168.1.8_POSEIDONSQL_APPFVT_01_SQLDevolucionesConMotivo_1[[#This Row],[dev_fecha]])</f>
        <v>2018</v>
      </c>
      <c r="S91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92" spans="1:19" x14ac:dyDescent="0.25">
      <c r="A92">
        <v>55</v>
      </c>
      <c r="B92">
        <v>2</v>
      </c>
      <c r="C92" t="s">
        <v>50</v>
      </c>
      <c r="D92">
        <v>8100460296</v>
      </c>
      <c r="E92">
        <v>4766</v>
      </c>
      <c r="F92" t="s">
        <v>65</v>
      </c>
      <c r="G92" t="s">
        <v>66</v>
      </c>
      <c r="H92">
        <v>205</v>
      </c>
      <c r="I92" t="s">
        <v>63</v>
      </c>
      <c r="J92">
        <v>5</v>
      </c>
      <c r="K92" t="s">
        <v>64</v>
      </c>
      <c r="L92">
        <v>90</v>
      </c>
      <c r="M92" t="s">
        <v>30</v>
      </c>
      <c r="N92" t="s">
        <v>30</v>
      </c>
      <c r="O92">
        <v>93699</v>
      </c>
      <c r="P92">
        <v>0</v>
      </c>
      <c r="Q92" t="s">
        <v>31</v>
      </c>
      <c r="R92">
        <f>+YEAR(Tabla__192.168.1.8_POSEIDONSQL_APPFVT_01_SQLDevolucionesConMotivo_1[[#This Row],[dev_fecha]])</f>
        <v>2018</v>
      </c>
      <c r="S92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93" spans="1:19" x14ac:dyDescent="0.25">
      <c r="A93">
        <v>55</v>
      </c>
      <c r="B93">
        <v>2</v>
      </c>
      <c r="C93" t="s">
        <v>50</v>
      </c>
      <c r="D93">
        <v>8100460296</v>
      </c>
      <c r="E93">
        <v>4766</v>
      </c>
      <c r="F93" t="s">
        <v>67</v>
      </c>
      <c r="G93" t="s">
        <v>68</v>
      </c>
      <c r="H93">
        <v>10</v>
      </c>
      <c r="I93" t="s">
        <v>63</v>
      </c>
      <c r="J93">
        <v>90</v>
      </c>
      <c r="K93" t="s">
        <v>64</v>
      </c>
      <c r="L93">
        <v>7</v>
      </c>
      <c r="M93" t="s">
        <v>30</v>
      </c>
      <c r="N93" t="s">
        <v>30</v>
      </c>
      <c r="O93">
        <v>93699</v>
      </c>
      <c r="P93">
        <v>0</v>
      </c>
      <c r="Q93" t="s">
        <v>31</v>
      </c>
      <c r="R93">
        <f>+YEAR(Tabla__192.168.1.8_POSEIDONSQL_APPFVT_01_SQLDevolucionesConMotivo_1[[#This Row],[dev_fecha]])</f>
        <v>2018</v>
      </c>
      <c r="S93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MAYO</v>
      </c>
    </row>
    <row r="94" spans="1:19" x14ac:dyDescent="0.25">
      <c r="A94">
        <v>55</v>
      </c>
      <c r="B94">
        <v>2</v>
      </c>
      <c r="C94" t="s">
        <v>69</v>
      </c>
      <c r="D94">
        <v>9103852</v>
      </c>
      <c r="E94">
        <v>4047</v>
      </c>
      <c r="F94" t="s">
        <v>83</v>
      </c>
      <c r="G94" t="s">
        <v>84</v>
      </c>
      <c r="H94">
        <v>1</v>
      </c>
      <c r="I94" t="s">
        <v>29</v>
      </c>
      <c r="J94">
        <v>1</v>
      </c>
      <c r="K94" t="s">
        <v>85</v>
      </c>
      <c r="L94">
        <v>1</v>
      </c>
      <c r="M94" t="s">
        <v>30</v>
      </c>
      <c r="N94" t="s">
        <v>30</v>
      </c>
      <c r="O94">
        <v>92029</v>
      </c>
      <c r="P94">
        <v>0</v>
      </c>
      <c r="Q94" t="s">
        <v>31</v>
      </c>
      <c r="R94">
        <f>+YEAR(Tabla__192.168.1.8_POSEIDONSQL_APPFVT_01_SQLDevolucionesConMotivo_1[[#This Row],[dev_fecha]])</f>
        <v>2018</v>
      </c>
      <c r="S94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  <row r="95" spans="1:19" x14ac:dyDescent="0.25">
      <c r="A95">
        <v>55</v>
      </c>
      <c r="B95">
        <v>2</v>
      </c>
      <c r="C95" t="s">
        <v>69</v>
      </c>
      <c r="D95">
        <v>9104498</v>
      </c>
      <c r="E95">
        <v>4047</v>
      </c>
      <c r="F95" t="s">
        <v>86</v>
      </c>
      <c r="G95" t="s">
        <v>87</v>
      </c>
      <c r="H95">
        <v>1</v>
      </c>
      <c r="I95" t="s">
        <v>33</v>
      </c>
      <c r="J95">
        <v>1</v>
      </c>
      <c r="K95" t="s">
        <v>88</v>
      </c>
      <c r="L95">
        <v>1</v>
      </c>
      <c r="M95" t="s">
        <v>30</v>
      </c>
      <c r="N95" t="s">
        <v>30</v>
      </c>
      <c r="O95">
        <v>0</v>
      </c>
      <c r="P95">
        <v>0</v>
      </c>
      <c r="Q95" t="s">
        <v>34</v>
      </c>
      <c r="R95">
        <f>+YEAR(Tabla__192.168.1.8_POSEIDONSQL_APPFVT_01_SQLDevolucionesConMotivo_1[[#This Row],[dev_fecha]])</f>
        <v>2018</v>
      </c>
      <c r="S95" t="str">
        <f>+IF(MONTH(Tabla__192.168.1.8_POSEIDONSQL_APPFVT_01_SQLDevolucionesConMotivo_1[[#This Row],[dev_fecha]])=1,"ENERO",IF(MONTH(Tabla__192.168.1.8_POSEIDONSQL_APPFVT_01_SQLDevolucionesConMotivo_1[[#This Row],[dev_fecha]])=2,"FEBRERO",IF(MONTH(Tabla__192.168.1.8_POSEIDONSQL_APPFVT_01_SQLDevolucionesConMotivo_1[[#This Row],[dev_fecha]])=3,"MARZO",IF(MONTH(Tabla__192.168.1.8_POSEIDONSQL_APPFVT_01_SQLDevolucionesConMotivo_1[[#This Row],[dev_fecha]])=4,"ABRIL",IF(MONTH(Tabla__192.168.1.8_POSEIDONSQL_APPFVT_01_SQLDevolucionesConMotivo_1[[#This Row],[dev_fecha]])=5,"MAYO",IF(MONTH(Tabla__192.168.1.8_POSEIDONSQL_APPFVT_01_SQLDevolucionesConMotivo_1[[#This Row],[dev_fecha]])=6,"JUNIO",IF(MONTH(Tabla__192.168.1.8_POSEIDONSQL_APPFVT_01_SQLDevolucionesConMotivo_1[[#This Row],[dev_fecha]])=7,"JULIO",IF(MONTH(Tabla__192.168.1.8_POSEIDONSQL_APPFVT_01_SQLDevolucionesConMotivo_1[[#This Row],[dev_fecha]])=8,"AGOSTO",IF(MONTH(Tabla__192.168.1.8_POSEIDONSQL_APPFVT_01_SQLDevolucionesConMotivo_1[[#This Row],[dev_fecha]])=9,"NOVIEMBRE",IF(MONTH(Tabla__192.168.1.8_POSEIDONSQL_APPFVT_01_SQLDevolucionesConMotivo_1[[#This Row],[dev_fecha]])=10,"OCTUBRE",IF(MONTH(Tabla__192.168.1.8_POSEIDONSQL_APPFVT_01_SQLDevolucionesConMotivo_1[[#This Row],[dev_fecha]])=11,"NOVIEMBRE",IF(MONTH(Tabla__192.168.1.8_POSEIDONSQL_APPFVT_01_SQLDevolucionesConMotivo_1[[#This Row],[dev_fecha]])=12,"DICIEMBRE"))))))))))))</f>
        <v>ABRIL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BB48"/>
  <sheetViews>
    <sheetView showGridLines="0" showRowColHeaders="0" tabSelected="1" zoomScale="80" zoomScaleNormal="80" workbookViewId="0">
      <selection activeCell="C23" sqref="C23"/>
    </sheetView>
  </sheetViews>
  <sheetFormatPr baseColWidth="10" defaultColWidth="0" defaultRowHeight="15" x14ac:dyDescent="0.25"/>
  <cols>
    <col min="1" max="1" width="1.85546875" customWidth="1"/>
    <col min="2" max="2" width="21" customWidth="1"/>
    <col min="3" max="3" width="52.28515625" customWidth="1"/>
    <col min="4" max="4" width="19.5703125" bestFit="1" customWidth="1"/>
    <col min="5" max="12" width="11.42578125" customWidth="1"/>
    <col min="13" max="14" width="1.85546875" customWidth="1"/>
    <col min="15" max="52" width="11.42578125" hidden="1" customWidth="1"/>
    <col min="53" max="53" width="52.28515625" hidden="1" customWidth="1"/>
    <col min="54" max="54" width="19.5703125" hidden="1" customWidth="1"/>
    <col min="55" max="16384" width="11.42578125" hidden="1"/>
  </cols>
  <sheetData>
    <row r="1" spans="1:20" ht="4.5" customHeight="1" x14ac:dyDescent="0.25"/>
    <row r="2" spans="1:20" ht="25.5" customHeight="1" x14ac:dyDescent="0.25">
      <c r="A2" s="2"/>
      <c r="B2" s="9" t="s">
        <v>23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  <c r="O2" s="7"/>
      <c r="P2" s="7"/>
      <c r="Q2" s="7"/>
      <c r="R2" s="7"/>
    </row>
    <row r="3" spans="1:20" x14ac:dyDescent="0.25">
      <c r="A3" s="2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T3" s="4"/>
    </row>
    <row r="4" spans="1:20" x14ac:dyDescent="0.25">
      <c r="A4" s="2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0" x14ac:dyDescent="0.25">
      <c r="A5" s="2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20" x14ac:dyDescent="0.25">
      <c r="A6" s="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20" x14ac:dyDescent="0.25">
      <c r="A7" s="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20" x14ac:dyDescent="0.25">
      <c r="A8" s="2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20" x14ac:dyDescent="0.25">
      <c r="A9" s="2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20" x14ac:dyDescent="0.2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20" x14ac:dyDescent="0.2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20" x14ac:dyDescent="0.2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20" x14ac:dyDescent="0.2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20" x14ac:dyDescent="0.2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20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20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2:18" x14ac:dyDescent="0.2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2:18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2:18" x14ac:dyDescent="0.2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2:18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2:18" x14ac:dyDescent="0.2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2:1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2:18" ht="19.5" customHeight="1" x14ac:dyDescent="0.25">
      <c r="B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2:18" x14ac:dyDescent="0.25">
      <c r="B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2:18" x14ac:dyDescent="0.25">
      <c r="B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2:18" x14ac:dyDescent="0.25">
      <c r="B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2:18" x14ac:dyDescent="0.25">
      <c r="B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2:18" x14ac:dyDescent="0.25">
      <c r="B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2:18" x14ac:dyDescent="0.25">
      <c r="B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2:18" x14ac:dyDescent="0.25">
      <c r="B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2:18" x14ac:dyDescent="0.25">
      <c r="B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2:18" x14ac:dyDescent="0.25">
      <c r="B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2:18" x14ac:dyDescent="0.25">
      <c r="B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2:18" x14ac:dyDescent="0.25">
      <c r="B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2:18" x14ac:dyDescent="0.25">
      <c r="B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2:18" x14ac:dyDescent="0.25">
      <c r="B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2:18" x14ac:dyDescent="0.25">
      <c r="B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2:18" x14ac:dyDescent="0.25">
      <c r="B38" s="6"/>
      <c r="C38" s="1" t="s">
        <v>20</v>
      </c>
      <c r="D38" t="s">
        <v>19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2:18" x14ac:dyDescent="0.25">
      <c r="B39" s="6"/>
      <c r="C39" t="s">
        <v>29</v>
      </c>
      <c r="D39" s="5">
        <v>28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2:18" x14ac:dyDescent="0.25">
      <c r="B40" s="6"/>
      <c r="C40" t="s">
        <v>33</v>
      </c>
      <c r="D40" s="5">
        <v>21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2:18" x14ac:dyDescent="0.25">
      <c r="B41" s="6"/>
      <c r="C41" t="s">
        <v>32</v>
      </c>
      <c r="D41" s="5">
        <v>17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2:18" x14ac:dyDescent="0.25">
      <c r="B42" s="6"/>
      <c r="C42" t="s">
        <v>46</v>
      </c>
      <c r="D42" s="5">
        <v>9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2:18" x14ac:dyDescent="0.25">
      <c r="C43" t="s">
        <v>114</v>
      </c>
      <c r="D43" s="5">
        <v>9</v>
      </c>
    </row>
    <row r="44" spans="2:18" x14ac:dyDescent="0.25">
      <c r="C44" t="s">
        <v>63</v>
      </c>
      <c r="D44" s="5">
        <v>3</v>
      </c>
    </row>
    <row r="45" spans="2:18" x14ac:dyDescent="0.25">
      <c r="C45" t="s">
        <v>97</v>
      </c>
      <c r="D45" s="5">
        <v>2</v>
      </c>
    </row>
    <row r="46" spans="2:18" x14ac:dyDescent="0.25">
      <c r="C46" t="s">
        <v>75</v>
      </c>
      <c r="D46" s="5">
        <v>2</v>
      </c>
    </row>
    <row r="47" spans="2:18" x14ac:dyDescent="0.25">
      <c r="C47" t="s">
        <v>82</v>
      </c>
      <c r="D47" s="5">
        <v>2</v>
      </c>
    </row>
    <row r="48" spans="2:18" x14ac:dyDescent="0.25">
      <c r="C48" t="s">
        <v>40</v>
      </c>
      <c r="D48" s="5">
        <v>1</v>
      </c>
    </row>
  </sheetData>
  <mergeCells count="1">
    <mergeCell ref="B2:M2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dPorProductos">
          <controlPr autoLine="0" r:id="rId6">
            <anchor moveWithCells="1">
              <from>
                <xdr:col>1</xdr:col>
                <xdr:colOff>95250</xdr:colOff>
                <xdr:row>3</xdr:row>
                <xdr:rowOff>0</xdr:rowOff>
              </from>
              <to>
                <xdr:col>1</xdr:col>
                <xdr:colOff>1352550</xdr:colOff>
                <xdr:row>4</xdr:row>
                <xdr:rowOff>123825</xdr:rowOff>
              </to>
            </anchor>
          </controlPr>
        </control>
      </mc:Choice>
      <mc:Fallback>
        <control shapeId="1025" r:id="rId5" name="cmdPorProductos"/>
      </mc:Fallback>
    </mc:AlternateContent>
  </control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R10"/>
  <sheetViews>
    <sheetView showGridLines="0" showRowColHeaders="0" zoomScale="80" zoomScaleNormal="80" workbookViewId="0">
      <selection activeCell="D31" sqref="D31"/>
    </sheetView>
  </sheetViews>
  <sheetFormatPr baseColWidth="10" defaultColWidth="0" defaultRowHeight="15" x14ac:dyDescent="0.25"/>
  <cols>
    <col min="1" max="1" width="1.85546875" customWidth="1"/>
    <col min="2" max="4" width="11.42578125" customWidth="1"/>
    <col min="5" max="5" width="38.140625" customWidth="1"/>
    <col min="6" max="6" width="19.5703125" bestFit="1" customWidth="1"/>
    <col min="7" max="17" width="11.42578125" customWidth="1"/>
    <col min="18" max="18" width="1.85546875" customWidth="1"/>
    <col min="19" max="16384" width="11.42578125" hidden="1"/>
  </cols>
  <sheetData>
    <row r="1" spans="1:17" ht="4.5" customHeight="1" x14ac:dyDescent="0.25">
      <c r="A1" s="4">
        <v>1</v>
      </c>
    </row>
    <row r="2" spans="1:17" ht="25.5" customHeight="1" x14ac:dyDescent="0.25">
      <c r="B2" s="9" t="s">
        <v>27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5" spans="1:17" x14ac:dyDescent="0.25">
      <c r="F5" s="8"/>
    </row>
    <row r="6" spans="1:17" x14ac:dyDescent="0.25">
      <c r="F6" s="8"/>
    </row>
    <row r="7" spans="1:17" x14ac:dyDescent="0.25">
      <c r="F7" s="8"/>
    </row>
    <row r="8" spans="1:17" x14ac:dyDescent="0.25">
      <c r="F8" s="8"/>
    </row>
    <row r="9" spans="1:17" x14ac:dyDescent="0.25">
      <c r="F9" s="8"/>
    </row>
    <row r="10" spans="1:17" x14ac:dyDescent="0.25">
      <c r="F10" s="8"/>
    </row>
  </sheetData>
  <mergeCells count="1">
    <mergeCell ref="B2:Q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General">
          <controlPr autoLine="0" r:id="rId5">
            <anchor moveWithCells="1">
              <from>
                <xdr:col>1</xdr:col>
                <xdr:colOff>95250</xdr:colOff>
                <xdr:row>3</xdr:row>
                <xdr:rowOff>0</xdr:rowOff>
              </from>
              <to>
                <xdr:col>2</xdr:col>
                <xdr:colOff>590550</xdr:colOff>
                <xdr:row>4</xdr:row>
                <xdr:rowOff>123825</xdr:rowOff>
              </to>
            </anchor>
          </controlPr>
        </control>
      </mc:Choice>
      <mc:Fallback>
        <control shapeId="3073" r:id="rId4" name="cmdGeneral"/>
      </mc:Fallback>
    </mc:AlternateContent>
  </control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I51"/>
  <sheetViews>
    <sheetView zoomScale="80" zoomScaleNormal="80" workbookViewId="0">
      <selection activeCell="D1" sqref="D1:E51"/>
    </sheetView>
  </sheetViews>
  <sheetFormatPr baseColWidth="10" defaultRowHeight="15" x14ac:dyDescent="0.25"/>
  <cols>
    <col min="1" max="1" width="22" customWidth="1"/>
    <col min="2" max="2" width="19.5703125" customWidth="1"/>
    <col min="4" max="4" width="52.28515625" customWidth="1"/>
    <col min="5" max="5" width="19.5703125" bestFit="1" customWidth="1"/>
    <col min="6" max="6" width="17" bestFit="1" customWidth="1"/>
    <col min="7" max="7" width="11.140625" bestFit="1" customWidth="1"/>
    <col min="8" max="8" width="22" customWidth="1"/>
    <col min="9" max="9" width="19.5703125" customWidth="1"/>
    <col min="11" max="11" width="12.85546875" bestFit="1" customWidth="1"/>
    <col min="12" max="12" width="62.7109375" customWidth="1"/>
    <col min="13" max="13" width="19.5703125" bestFit="1" customWidth="1"/>
  </cols>
  <sheetData>
    <row r="1" spans="1:9" x14ac:dyDescent="0.25">
      <c r="A1" s="1" t="s">
        <v>18</v>
      </c>
      <c r="B1" t="s">
        <v>19</v>
      </c>
      <c r="D1" t="s">
        <v>20</v>
      </c>
      <c r="E1" t="s">
        <v>19</v>
      </c>
      <c r="G1" s="1" t="s">
        <v>17</v>
      </c>
      <c r="H1" s="1" t="s">
        <v>22</v>
      </c>
      <c r="I1" t="s">
        <v>19</v>
      </c>
    </row>
    <row r="2" spans="1:9" x14ac:dyDescent="0.25">
      <c r="A2" s="2" t="s">
        <v>149</v>
      </c>
      <c r="B2" s="3">
        <v>1</v>
      </c>
      <c r="D2" t="s">
        <v>29</v>
      </c>
      <c r="E2" s="3">
        <v>28</v>
      </c>
      <c r="G2" t="s">
        <v>187</v>
      </c>
      <c r="H2" t="s">
        <v>149</v>
      </c>
      <c r="I2" s="3">
        <v>1</v>
      </c>
    </row>
    <row r="3" spans="1:9" x14ac:dyDescent="0.25">
      <c r="A3" s="2" t="s">
        <v>28</v>
      </c>
      <c r="B3" s="3">
        <v>36</v>
      </c>
      <c r="D3" t="s">
        <v>33</v>
      </c>
      <c r="E3" s="3">
        <v>21</v>
      </c>
      <c r="H3" t="s">
        <v>28</v>
      </c>
      <c r="I3" s="3">
        <v>33</v>
      </c>
    </row>
    <row r="4" spans="1:9" x14ac:dyDescent="0.25">
      <c r="A4" s="2" t="s">
        <v>127</v>
      </c>
      <c r="B4" s="3">
        <v>6</v>
      </c>
      <c r="D4" t="s">
        <v>32</v>
      </c>
      <c r="E4" s="3">
        <v>17</v>
      </c>
      <c r="H4" t="s">
        <v>127</v>
      </c>
      <c r="I4" s="3">
        <v>3</v>
      </c>
    </row>
    <row r="5" spans="1:9" hidden="1" x14ac:dyDescent="0.25">
      <c r="A5" s="2" t="s">
        <v>169</v>
      </c>
      <c r="B5" s="3">
        <v>10</v>
      </c>
      <c r="D5" t="s">
        <v>46</v>
      </c>
      <c r="E5" s="3">
        <v>9</v>
      </c>
      <c r="H5" t="s">
        <v>169</v>
      </c>
      <c r="I5" s="3">
        <v>3</v>
      </c>
    </row>
    <row r="6" spans="1:9" hidden="1" x14ac:dyDescent="0.25">
      <c r="A6" s="2" t="s">
        <v>156</v>
      </c>
      <c r="B6" s="3">
        <v>6</v>
      </c>
      <c r="D6" t="s">
        <v>114</v>
      </c>
      <c r="E6" s="3">
        <v>9</v>
      </c>
      <c r="H6" t="s">
        <v>156</v>
      </c>
      <c r="I6" s="3">
        <v>2</v>
      </c>
    </row>
    <row r="7" spans="1:9" hidden="1" x14ac:dyDescent="0.25">
      <c r="A7" s="2" t="s">
        <v>50</v>
      </c>
      <c r="B7" s="3">
        <v>8</v>
      </c>
      <c r="D7" t="s">
        <v>63</v>
      </c>
      <c r="E7" s="3">
        <v>3</v>
      </c>
      <c r="H7" t="s">
        <v>50</v>
      </c>
      <c r="I7" s="3">
        <v>4</v>
      </c>
    </row>
    <row r="8" spans="1:9" hidden="1" x14ac:dyDescent="0.25">
      <c r="A8" s="2" t="s">
        <v>111</v>
      </c>
      <c r="B8" s="3">
        <v>6</v>
      </c>
      <c r="D8" t="s">
        <v>97</v>
      </c>
      <c r="E8" s="3">
        <v>2</v>
      </c>
      <c r="H8" t="s">
        <v>111</v>
      </c>
      <c r="I8" s="3">
        <v>1</v>
      </c>
    </row>
    <row r="9" spans="1:9" hidden="1" x14ac:dyDescent="0.25">
      <c r="A9" s="2" t="s">
        <v>150</v>
      </c>
      <c r="B9" s="3">
        <v>2</v>
      </c>
      <c r="D9" t="s">
        <v>75</v>
      </c>
      <c r="E9" s="3">
        <v>2</v>
      </c>
      <c r="H9" t="s">
        <v>150</v>
      </c>
      <c r="I9" s="3">
        <v>1</v>
      </c>
    </row>
    <row r="10" spans="1:9" hidden="1" x14ac:dyDescent="0.25">
      <c r="A10" s="2" t="s">
        <v>69</v>
      </c>
      <c r="B10" s="3">
        <v>19</v>
      </c>
      <c r="D10" t="s">
        <v>82</v>
      </c>
      <c r="E10" s="3">
        <v>2</v>
      </c>
      <c r="H10" t="s">
        <v>69</v>
      </c>
      <c r="I10" s="3">
        <v>13</v>
      </c>
    </row>
    <row r="11" spans="1:9" hidden="1" x14ac:dyDescent="0.25">
      <c r="D11" t="s">
        <v>40</v>
      </c>
      <c r="E11" s="3">
        <v>1</v>
      </c>
      <c r="G11" t="s">
        <v>184</v>
      </c>
      <c r="H11" t="s">
        <v>28</v>
      </c>
      <c r="I11" s="3">
        <v>3</v>
      </c>
    </row>
    <row r="12" spans="1:9" hidden="1" x14ac:dyDescent="0.25">
      <c r="E12" s="3"/>
      <c r="H12" t="s">
        <v>127</v>
      </c>
      <c r="I12" s="3">
        <v>3</v>
      </c>
    </row>
    <row r="13" spans="1:9" hidden="1" x14ac:dyDescent="0.25">
      <c r="E13" s="3"/>
      <c r="H13" t="s">
        <v>169</v>
      </c>
      <c r="I13" s="3">
        <v>7</v>
      </c>
    </row>
    <row r="14" spans="1:9" hidden="1" x14ac:dyDescent="0.25">
      <c r="A14" s="2"/>
      <c r="B14" s="3"/>
      <c r="E14" s="3"/>
      <c r="H14" t="s">
        <v>156</v>
      </c>
      <c r="I14" s="3">
        <v>4</v>
      </c>
    </row>
    <row r="15" spans="1:9" hidden="1" x14ac:dyDescent="0.25">
      <c r="A15" s="2"/>
      <c r="B15" s="3"/>
      <c r="E15" s="3"/>
      <c r="H15" t="s">
        <v>50</v>
      </c>
      <c r="I15" s="3">
        <v>4</v>
      </c>
    </row>
    <row r="16" spans="1:9" hidden="1" x14ac:dyDescent="0.25">
      <c r="A16" s="2"/>
      <c r="B16" s="3"/>
      <c r="E16" s="3"/>
      <c r="H16" t="s">
        <v>111</v>
      </c>
      <c r="I16" s="3">
        <v>5</v>
      </c>
    </row>
    <row r="17" spans="1:9" hidden="1" x14ac:dyDescent="0.25">
      <c r="A17" s="2"/>
      <c r="B17" s="3"/>
      <c r="E17" s="3"/>
      <c r="H17" t="s">
        <v>150</v>
      </c>
      <c r="I17" s="3">
        <v>1</v>
      </c>
    </row>
    <row r="18" spans="1:9" hidden="1" x14ac:dyDescent="0.25">
      <c r="A18" s="2"/>
      <c r="B18" s="3"/>
      <c r="E18" s="3"/>
      <c r="H18" t="s">
        <v>69</v>
      </c>
      <c r="I18" s="3">
        <v>6</v>
      </c>
    </row>
    <row r="19" spans="1:9" hidden="1" x14ac:dyDescent="0.25">
      <c r="A19" s="2"/>
      <c r="B19" s="3"/>
      <c r="E19" s="3"/>
    </row>
    <row r="20" spans="1:9" hidden="1" x14ac:dyDescent="0.25">
      <c r="A20" s="2"/>
      <c r="B20" s="3"/>
      <c r="E20" s="3"/>
    </row>
    <row r="21" spans="1:9" hidden="1" x14ac:dyDescent="0.25">
      <c r="A21" s="2"/>
      <c r="B21" s="3"/>
    </row>
    <row r="22" spans="1:9" hidden="1" x14ac:dyDescent="0.25">
      <c r="A22" s="2"/>
      <c r="B22" s="3"/>
    </row>
    <row r="23" spans="1:9" hidden="1" x14ac:dyDescent="0.25">
      <c r="A23" s="2"/>
      <c r="B23" s="3"/>
    </row>
    <row r="24" spans="1:9" hidden="1" x14ac:dyDescent="0.25">
      <c r="A24" s="2"/>
      <c r="B24" s="3"/>
    </row>
    <row r="25" spans="1:9" hidden="1" x14ac:dyDescent="0.25">
      <c r="A25" s="2"/>
      <c r="B25" s="3"/>
    </row>
    <row r="26" spans="1:9" hidden="1" x14ac:dyDescent="0.25"/>
    <row r="27" spans="1:9" hidden="1" x14ac:dyDescent="0.25"/>
    <row r="28" spans="1:9" hidden="1" x14ac:dyDescent="0.25"/>
    <row r="29" spans="1:9" hidden="1" x14ac:dyDescent="0.25"/>
    <row r="30" spans="1:9" hidden="1" x14ac:dyDescent="0.25"/>
    <row r="31" spans="1:9" hidden="1" x14ac:dyDescent="0.25"/>
    <row r="32" spans="1: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</sheetData>
  <autoFilter ref="D1:E51">
    <filterColumn colId="1">
      <dynamicFilter type="aboveAverage" val="9.4"/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8"/>
  <sheetViews>
    <sheetView zoomScale="80" zoomScaleNormal="80" workbookViewId="0">
      <selection activeCell="G2" sqref="G2"/>
    </sheetView>
  </sheetViews>
  <sheetFormatPr baseColWidth="10" defaultRowHeight="15" x14ac:dyDescent="0.25"/>
  <cols>
    <col min="1" max="1" width="14.5703125" customWidth="1"/>
    <col min="2" max="2" width="11.42578125" bestFit="1" customWidth="1"/>
    <col min="3" max="3" width="45.5703125" bestFit="1" customWidth="1"/>
    <col min="4" max="4" width="10.7109375" bestFit="1" customWidth="1"/>
  </cols>
  <sheetData>
    <row r="1" spans="1:4" x14ac:dyDescent="0.25">
      <c r="A1" s="1" t="s">
        <v>17</v>
      </c>
      <c r="B1" s="1" t="s">
        <v>24</v>
      </c>
      <c r="C1" s="1" t="s">
        <v>25</v>
      </c>
      <c r="D1" t="s">
        <v>26</v>
      </c>
    </row>
    <row r="2" spans="1:4" x14ac:dyDescent="0.25">
      <c r="A2" t="s">
        <v>187</v>
      </c>
      <c r="B2" t="s">
        <v>38</v>
      </c>
      <c r="C2" t="s">
        <v>39</v>
      </c>
      <c r="D2" s="8">
        <v>430</v>
      </c>
    </row>
    <row r="3" spans="1:4" x14ac:dyDescent="0.25">
      <c r="B3" t="s">
        <v>95</v>
      </c>
      <c r="C3" t="s">
        <v>96</v>
      </c>
      <c r="D3" s="8">
        <v>310</v>
      </c>
    </row>
    <row r="4" spans="1:4" x14ac:dyDescent="0.25">
      <c r="B4" t="s">
        <v>93</v>
      </c>
      <c r="C4" t="s">
        <v>94</v>
      </c>
      <c r="D4" s="8">
        <v>216</v>
      </c>
    </row>
    <row r="5" spans="1:4" x14ac:dyDescent="0.25">
      <c r="B5" t="s">
        <v>151</v>
      </c>
      <c r="C5" t="s">
        <v>152</v>
      </c>
      <c r="D5" s="8">
        <v>57</v>
      </c>
    </row>
    <row r="6" spans="1:4" x14ac:dyDescent="0.25">
      <c r="B6" t="s">
        <v>51</v>
      </c>
      <c r="C6" t="s">
        <v>52</v>
      </c>
      <c r="D6" s="8">
        <v>46</v>
      </c>
    </row>
    <row r="7" spans="1:4" x14ac:dyDescent="0.25">
      <c r="B7" t="s">
        <v>56</v>
      </c>
      <c r="C7" t="s">
        <v>57</v>
      </c>
      <c r="D7" s="8">
        <v>31</v>
      </c>
    </row>
    <row r="8" spans="1:4" x14ac:dyDescent="0.25">
      <c r="B8" t="s">
        <v>54</v>
      </c>
      <c r="C8" t="s">
        <v>55</v>
      </c>
      <c r="D8" s="8">
        <v>26</v>
      </c>
    </row>
    <row r="9" spans="1:4" x14ac:dyDescent="0.25">
      <c r="B9" t="s">
        <v>67</v>
      </c>
      <c r="C9" t="s">
        <v>68</v>
      </c>
      <c r="D9" s="8">
        <v>15</v>
      </c>
    </row>
    <row r="10" spans="1:4" x14ac:dyDescent="0.25">
      <c r="B10" t="s">
        <v>157</v>
      </c>
      <c r="C10" t="s">
        <v>158</v>
      </c>
      <c r="D10" s="8">
        <v>7</v>
      </c>
    </row>
    <row r="11" spans="1:4" x14ac:dyDescent="0.25">
      <c r="A11" t="s">
        <v>188</v>
      </c>
      <c r="D11" s="8">
        <v>1138</v>
      </c>
    </row>
    <row r="12" spans="1:4" x14ac:dyDescent="0.25">
      <c r="A12" t="s">
        <v>184</v>
      </c>
      <c r="B12" t="s">
        <v>65</v>
      </c>
      <c r="C12" t="s">
        <v>66</v>
      </c>
      <c r="D12" s="8">
        <v>90</v>
      </c>
    </row>
    <row r="13" spans="1:4" x14ac:dyDescent="0.25">
      <c r="B13" t="s">
        <v>107</v>
      </c>
      <c r="C13" t="s">
        <v>108</v>
      </c>
      <c r="D13" s="8">
        <v>49</v>
      </c>
    </row>
    <row r="14" spans="1:4" x14ac:dyDescent="0.25">
      <c r="B14" t="s">
        <v>153</v>
      </c>
      <c r="C14" t="s">
        <v>154</v>
      </c>
      <c r="D14" s="8">
        <v>42</v>
      </c>
    </row>
    <row r="15" spans="1:4" x14ac:dyDescent="0.25">
      <c r="B15" t="s">
        <v>58</v>
      </c>
      <c r="C15" t="s">
        <v>59</v>
      </c>
      <c r="D15" s="8">
        <v>19</v>
      </c>
    </row>
    <row r="16" spans="1:4" x14ac:dyDescent="0.25">
      <c r="B16" t="s">
        <v>67</v>
      </c>
      <c r="C16" t="s">
        <v>68</v>
      </c>
      <c r="D16" s="8">
        <v>7</v>
      </c>
    </row>
    <row r="17" spans="1:4" x14ac:dyDescent="0.25">
      <c r="A17" t="s">
        <v>185</v>
      </c>
      <c r="D17" s="8">
        <v>207</v>
      </c>
    </row>
    <row r="18" spans="1:4" x14ac:dyDescent="0.25">
      <c r="A18" t="s">
        <v>186</v>
      </c>
      <c r="D18" s="8">
        <v>1345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INFORME</vt:lpstr>
      <vt:lpstr>Filtro_TotalMotivos</vt:lpstr>
      <vt:lpstr>Lista_TD_Motivos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Espinoza, Manuel</dc:creator>
  <cp:lastModifiedBy>Espinoza, Manuel </cp:lastModifiedBy>
  <dcterms:created xsi:type="dcterms:W3CDTF">2018-06-13T18:39:21Z</dcterms:created>
  <dcterms:modified xsi:type="dcterms:W3CDTF">2018-06-19T14:45:32Z</dcterms:modified>
</cp:coreProperties>
</file>